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kin\Desktop\Vias\DGV\09_10_2025\"/>
    </mc:Choice>
  </mc:AlternateContent>
  <xr:revisionPtr revIDLastSave="0" documentId="13_ncr:1_{D0A1F84F-AE8C-4C8F-82FD-CB5A6EA6E5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3" i="1"/>
  <c r="I15" i="1"/>
  <c r="I17" i="1"/>
  <c r="I19" i="1"/>
  <c r="I21" i="1"/>
  <c r="I23" i="1"/>
  <c r="I25" i="1"/>
  <c r="I27" i="1"/>
  <c r="I29" i="1"/>
  <c r="I31" i="1"/>
  <c r="I9" i="1"/>
  <c r="H10" i="1"/>
  <c r="H12" i="1"/>
  <c r="H14" i="1"/>
  <c r="H16" i="1"/>
  <c r="H18" i="1"/>
  <c r="H20" i="1"/>
  <c r="H22" i="1"/>
  <c r="H24" i="1"/>
  <c r="H26" i="1"/>
  <c r="H28" i="1"/>
  <c r="H30" i="1"/>
  <c r="H32" i="1"/>
  <c r="H8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F32" i="1"/>
  <c r="F30" i="1"/>
  <c r="F28" i="1"/>
  <c r="F26" i="1"/>
  <c r="F24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<sst xmlns="http://schemas.openxmlformats.org/spreadsheetml/2006/main" count="8" uniqueCount="7">
  <si>
    <t>ESTE</t>
  </si>
  <si>
    <t>NORTE</t>
  </si>
  <si>
    <t>PUNTO</t>
  </si>
  <si>
    <t>COORDENDAS</t>
  </si>
  <si>
    <t>DISTANCIA (m)</t>
  </si>
  <si>
    <t>DEFLEXION</t>
  </si>
  <si>
    <t>AZIMUTS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</si>
</sst>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33"/>
  <sheetViews>
    <sheetView tabSelected="1" zoomScale="85" zoomScaleNormal="85" workbookViewId="0">
      <selection activeCell="I31" sqref="I31"/>
    </sheetView>
  </sheetViews>
  <sheetFormatPr baseColWidth="10" defaultColWidth="9.140625" defaultRowHeight="15" x14ac:dyDescent="0.25"/>
  <cols>
    <col min="3" max="8" width="19" customWidth="1"/>
    <col min="9" max="9" width="19.85546875" customWidth="1"/>
  </cols>
  <sheetData>
    <row r="5" spans="3:9" ht="17.25" customHeight="1" x14ac:dyDescent="0.25">
      <c r="C5" s="3" t="s">
        <v>2</v>
      </c>
      <c r="D5" s="3" t="s">
        <v>3</v>
      </c>
      <c r="E5" s="3"/>
      <c r="F5" s="4" t="s">
        <v>4</v>
      </c>
      <c r="G5" s="3" t="s">
        <v>6</v>
      </c>
      <c r="H5" s="3" t="s">
        <v>6</v>
      </c>
      <c r="I5" s="3" t="s">
        <v>5</v>
      </c>
    </row>
    <row r="6" spans="3:9" x14ac:dyDescent="0.25">
      <c r="C6" s="3"/>
      <c r="D6" s="1" t="s">
        <v>1</v>
      </c>
      <c r="E6" s="1" t="s">
        <v>0</v>
      </c>
      <c r="F6" s="4"/>
      <c r="G6" s="3"/>
      <c r="H6" s="3"/>
      <c r="I6" s="3"/>
    </row>
    <row r="7" spans="3:9" x14ac:dyDescent="0.25">
      <c r="C7" s="1">
        <v>1</v>
      </c>
      <c r="D7" s="2">
        <v>1190952.6510000001</v>
      </c>
      <c r="E7" s="2">
        <v>838041.85199999996</v>
      </c>
      <c r="F7" s="1"/>
      <c r="G7" s="1"/>
      <c r="H7" s="1"/>
      <c r="I7" s="1"/>
    </row>
    <row r="8" spans="3:9" x14ac:dyDescent="0.25">
      <c r="C8" s="1"/>
      <c r="D8" s="1"/>
      <c r="E8" s="1"/>
      <c r="F8" s="2">
        <f>((D7-D9)^2+(E7-E9)^2)^(0.5)</f>
        <v>224.37721142095091</v>
      </c>
      <c r="G8" s="2">
        <f>MOD(DEGREES(ATAN2(D9-D7, E9-E7 )), 360)</f>
        <v>160.61255808359681</v>
      </c>
      <c r="H8" s="2" t="str">
        <f>TEXT(G8/24,"[h]° mm' ss\""")</f>
        <v>160° 36' 45"</v>
      </c>
      <c r="I8" s="1"/>
    </row>
    <row r="9" spans="3:9" x14ac:dyDescent="0.25">
      <c r="C9" s="1">
        <v>2</v>
      </c>
      <c r="D9" s="2">
        <v>1190740.997</v>
      </c>
      <c r="E9" s="2">
        <v>838116.33499999996</v>
      </c>
      <c r="F9" s="1"/>
      <c r="G9" s="1"/>
      <c r="H9" s="1"/>
      <c r="I9" s="2">
        <f>G10-G8</f>
        <v>62.284447375024627</v>
      </c>
    </row>
    <row r="10" spans="3:9" x14ac:dyDescent="0.25">
      <c r="C10" s="1"/>
      <c r="D10" s="1"/>
      <c r="E10" s="1"/>
      <c r="F10" s="2">
        <f t="shared" ref="F10:F32" si="0">((D9-D11)^2+(E9-E11)^2)^(0.5)</f>
        <v>178.76173597548092</v>
      </c>
      <c r="G10" s="2">
        <f t="shared" ref="G10" si="1">MOD(DEGREES(ATAN2(D11-D9, E11-E9 )), 360)</f>
        <v>222.89700545862144</v>
      </c>
      <c r="H10" s="2" t="str">
        <f t="shared" ref="H10" si="2">TEXT(G10/24,"[h]° mm' ss\""")</f>
        <v>222° 53' 49"</v>
      </c>
      <c r="I10" s="1"/>
    </row>
    <row r="11" spans="3:9" x14ac:dyDescent="0.25">
      <c r="C11" s="1">
        <v>3</v>
      </c>
      <c r="D11" s="2">
        <v>1190610.04</v>
      </c>
      <c r="E11" s="2">
        <v>837994.65500000003</v>
      </c>
      <c r="F11" s="1"/>
      <c r="G11" s="1"/>
      <c r="H11" s="1"/>
      <c r="I11" s="2">
        <f t="shared" ref="I11:I31" si="3">G12-G10</f>
        <v>-110.42561209368233</v>
      </c>
    </row>
    <row r="12" spans="3:9" x14ac:dyDescent="0.25">
      <c r="C12" s="1"/>
      <c r="D12" s="1"/>
      <c r="E12" s="1"/>
      <c r="F12" s="2">
        <f t="shared" si="0"/>
        <v>171.63842242346485</v>
      </c>
      <c r="G12" s="2">
        <f t="shared" ref="G12" si="4">MOD(DEGREES(ATAN2(D13-D11, E13-E11 )), 360)</f>
        <v>112.4713933649391</v>
      </c>
      <c r="H12" s="2" t="str">
        <f t="shared" ref="H12" si="5">TEXT(G12/24,"[h]° mm' ss\""")</f>
        <v>112° 28' 17"</v>
      </c>
      <c r="I12" s="1"/>
    </row>
    <row r="13" spans="3:9" x14ac:dyDescent="0.25">
      <c r="C13" s="1">
        <v>4</v>
      </c>
      <c r="D13" s="2">
        <v>1190544.436</v>
      </c>
      <c r="E13" s="2">
        <v>838153.26100000006</v>
      </c>
      <c r="F13" s="1"/>
      <c r="G13" s="1"/>
      <c r="H13" s="1"/>
      <c r="I13" s="2">
        <f t="shared" ref="I13:I31" si="6">G14-G12</f>
        <v>83.617297423928903</v>
      </c>
    </row>
    <row r="14" spans="3:9" x14ac:dyDescent="0.25">
      <c r="C14" s="1"/>
      <c r="D14" s="1"/>
      <c r="E14" s="1"/>
      <c r="F14" s="2">
        <f t="shared" si="0"/>
        <v>218.15425743277078</v>
      </c>
      <c r="G14" s="2">
        <f t="shared" ref="G14" si="7">MOD(DEGREES(ATAN2(D15-D13, E15-E13 )), 360)</f>
        <v>196.08869078886801</v>
      </c>
      <c r="H14" s="2" t="str">
        <f t="shared" ref="H14" si="8">TEXT(G14/24,"[h]° mm' ss\""")</f>
        <v>196° 05' 19"</v>
      </c>
      <c r="I14" s="1"/>
    </row>
    <row r="15" spans="3:9" x14ac:dyDescent="0.25">
      <c r="C15" s="1">
        <v>5</v>
      </c>
      <c r="D15" s="2">
        <v>1190334.8259999999</v>
      </c>
      <c r="E15" s="2">
        <v>838092.80500000005</v>
      </c>
      <c r="F15" s="1"/>
      <c r="G15" s="1"/>
      <c r="H15" s="1"/>
      <c r="I15" s="2">
        <f t="shared" ref="I15:I31" si="9">G16-G14</f>
        <v>-13.965241132994464</v>
      </c>
    </row>
    <row r="16" spans="3:9" x14ac:dyDescent="0.25">
      <c r="C16" s="1"/>
      <c r="D16" s="1"/>
      <c r="E16" s="1"/>
      <c r="F16" s="2">
        <f t="shared" si="0"/>
        <v>277.55059044421034</v>
      </c>
      <c r="G16" s="2">
        <f t="shared" ref="G16" si="10">MOD(DEGREES(ATAN2(D17-D15, E17-E15 )), 360)</f>
        <v>182.12344965587354</v>
      </c>
      <c r="H16" s="2" t="str">
        <f t="shared" ref="H16" si="11">TEXT(G16/24,"[h]° mm' ss\""")</f>
        <v>182° 07' 24"</v>
      </c>
      <c r="I16" s="1"/>
    </row>
    <row r="17" spans="3:9" x14ac:dyDescent="0.25">
      <c r="C17" s="1">
        <v>6</v>
      </c>
      <c r="D17" s="2">
        <v>1190057.466</v>
      </c>
      <c r="E17" s="2">
        <v>838082.52099999995</v>
      </c>
      <c r="F17" s="1"/>
      <c r="G17" s="1"/>
      <c r="H17" s="1"/>
      <c r="I17" s="2">
        <f t="shared" ref="I17:I31" si="12">G18-G16</f>
        <v>122.99455713695593</v>
      </c>
    </row>
    <row r="18" spans="3:9" x14ac:dyDescent="0.25">
      <c r="C18" s="1"/>
      <c r="D18" s="1"/>
      <c r="E18" s="1"/>
      <c r="F18" s="2">
        <f t="shared" si="0"/>
        <v>183.34069665514104</v>
      </c>
      <c r="G18" s="2">
        <f t="shared" ref="G18" si="13">MOD(DEGREES(ATAN2(D19-D17, E19-E17 )), 360)</f>
        <v>305.11800679282948</v>
      </c>
      <c r="H18" s="2" t="str">
        <f t="shared" ref="H18" si="14">TEXT(G18/24,"[h]° mm' ss\""")</f>
        <v>305° 07' 05"</v>
      </c>
      <c r="I18" s="1"/>
    </row>
    <row r="19" spans="3:9" x14ac:dyDescent="0.25">
      <c r="C19" s="1">
        <v>7</v>
      </c>
      <c r="D19" s="2">
        <v>1190162.9350000001</v>
      </c>
      <c r="E19" s="2">
        <v>837932.554</v>
      </c>
      <c r="F19" s="1"/>
      <c r="G19" s="1"/>
      <c r="H19" s="1"/>
      <c r="I19" s="2">
        <f t="shared" ref="I19:I31" si="15">G20-G18</f>
        <v>-8.9685807828532802</v>
      </c>
    </row>
    <row r="20" spans="3:9" x14ac:dyDescent="0.25">
      <c r="C20" s="1"/>
      <c r="D20" s="1"/>
      <c r="E20" s="1"/>
      <c r="F20" s="2">
        <f t="shared" si="0"/>
        <v>175.82844003179724</v>
      </c>
      <c r="G20" s="2">
        <f t="shared" ref="G20" si="16">MOD(DEGREES(ATAN2(D21-D19, E21-E19 )), 360)</f>
        <v>296.1494260099762</v>
      </c>
      <c r="H20" s="2" t="str">
        <f t="shared" ref="H20" si="17">TEXT(G20/24,"[h]° mm' ss\""")</f>
        <v>296° 08' 58"</v>
      </c>
      <c r="I20" s="1"/>
    </row>
    <row r="21" spans="3:9" x14ac:dyDescent="0.25">
      <c r="C21" s="1">
        <v>8</v>
      </c>
      <c r="D21" s="2">
        <v>1190240.425</v>
      </c>
      <c r="E21" s="2">
        <v>837774.72199999995</v>
      </c>
      <c r="F21" s="1"/>
      <c r="G21" s="1"/>
      <c r="H21" s="1"/>
      <c r="I21" s="2">
        <f t="shared" ref="I21:I31" si="18">G22-G20</f>
        <v>-57.810371372826637</v>
      </c>
    </row>
    <row r="22" spans="3:9" x14ac:dyDescent="0.25">
      <c r="C22" s="1"/>
      <c r="D22" s="1"/>
      <c r="E22" s="1"/>
      <c r="F22" s="2">
        <f t="shared" si="0"/>
        <v>175.72771585608109</v>
      </c>
      <c r="G22" s="2">
        <f t="shared" ref="G22" si="19">MOD(DEGREES(ATAN2(D23-D21, E23-E21 )), 360)</f>
        <v>238.33905463714956</v>
      </c>
      <c r="H22" s="2" t="str">
        <f t="shared" ref="H22" si="20">TEXT(G22/24,"[h]° mm' ss\""")</f>
        <v>238° 20' 21"</v>
      </c>
      <c r="I22" s="1"/>
    </row>
    <row r="23" spans="3:9" x14ac:dyDescent="0.25">
      <c r="C23" s="1">
        <v>9</v>
      </c>
      <c r="D23" s="2">
        <v>1190148.1869999999</v>
      </c>
      <c r="E23" s="2">
        <v>837625.14800000004</v>
      </c>
      <c r="F23" s="1"/>
      <c r="G23" s="1"/>
      <c r="H23" s="1"/>
      <c r="I23" s="2">
        <f t="shared" ref="I23:I31" si="21">G24-G22</f>
        <v>-92.81713441913783</v>
      </c>
    </row>
    <row r="24" spans="3:9" x14ac:dyDescent="0.25">
      <c r="C24" s="1"/>
      <c r="D24" s="1"/>
      <c r="E24" s="1"/>
      <c r="F24" s="2">
        <f t="shared" si="0"/>
        <v>211.40597689272116</v>
      </c>
      <c r="G24" s="2">
        <f t="shared" ref="G24" si="22">MOD(DEGREES(ATAN2(D25-D23, E25-E23 )), 360)</f>
        <v>145.52192021801173</v>
      </c>
      <c r="H24" s="2" t="str">
        <f t="shared" ref="H24" si="23">TEXT(G24/24,"[h]° mm' ss\""")</f>
        <v>145° 31' 19"</v>
      </c>
      <c r="I24" s="1"/>
    </row>
    <row r="25" spans="3:9" x14ac:dyDescent="0.25">
      <c r="C25" s="1">
        <v>10</v>
      </c>
      <c r="D25" s="2">
        <v>1189973.916</v>
      </c>
      <c r="E25" s="2">
        <v>837744.82299999997</v>
      </c>
      <c r="F25" s="1"/>
      <c r="G25" s="1"/>
      <c r="H25" s="1"/>
      <c r="I25" s="2">
        <f t="shared" ref="I25:I31" si="24">G26-G24</f>
        <v>62.548972017699867</v>
      </c>
    </row>
    <row r="26" spans="3:9" x14ac:dyDescent="0.25">
      <c r="C26" s="1"/>
      <c r="D26" s="1"/>
      <c r="E26" s="1"/>
      <c r="F26" s="2">
        <f t="shared" si="0"/>
        <v>166.96358829980309</v>
      </c>
      <c r="G26" s="2">
        <f t="shared" ref="G26" si="25">MOD(DEGREES(ATAN2(D27-D25, E27-E25 )), 360)</f>
        <v>208.0708922357116</v>
      </c>
      <c r="H26" s="2" t="str">
        <f t="shared" ref="H26" si="26">TEXT(G26/24,"[h]° mm' ss\""")</f>
        <v>208° 04' 15"</v>
      </c>
      <c r="I26" s="1"/>
    </row>
    <row r="27" spans="3:9" x14ac:dyDescent="0.25">
      <c r="C27" s="1">
        <v>11</v>
      </c>
      <c r="D27" s="2">
        <v>1189826.5930000001</v>
      </c>
      <c r="E27" s="2">
        <v>837666.25600000005</v>
      </c>
      <c r="F27" s="1"/>
      <c r="G27" s="1"/>
      <c r="H27" s="1"/>
      <c r="I27" s="2">
        <f t="shared" ref="I27:I31" si="27">G28-G26</f>
        <v>-73.442873112404754</v>
      </c>
    </row>
    <row r="28" spans="3:9" x14ac:dyDescent="0.25">
      <c r="C28" s="1"/>
      <c r="D28" s="1"/>
      <c r="E28" s="1"/>
      <c r="F28" s="2">
        <f t="shared" si="0"/>
        <v>179.71073317431959</v>
      </c>
      <c r="G28" s="2">
        <f t="shared" ref="G28" si="28">MOD(DEGREES(ATAN2(D29-D27, E29-E27 )), 360)</f>
        <v>134.62801912330684</v>
      </c>
      <c r="H28" s="2" t="str">
        <f t="shared" ref="H28" si="29">TEXT(G28/24,"[h]° mm' ss\""")</f>
        <v>134° 37' 41"</v>
      </c>
      <c r="I28" s="1"/>
    </row>
    <row r="29" spans="3:9" x14ac:dyDescent="0.25">
      <c r="C29" s="1">
        <v>12</v>
      </c>
      <c r="D29" s="2">
        <v>1189700.3459999999</v>
      </c>
      <c r="E29" s="2">
        <v>837794.15300000005</v>
      </c>
      <c r="F29" s="1"/>
      <c r="G29" s="1"/>
      <c r="H29" s="1"/>
      <c r="I29" s="2">
        <f t="shared" ref="I29:I31" si="30">G30-G28</f>
        <v>71.239044665836531</v>
      </c>
    </row>
    <row r="30" spans="3:9" x14ac:dyDescent="0.25">
      <c r="C30" s="1"/>
      <c r="D30" s="1"/>
      <c r="E30" s="1"/>
      <c r="F30" s="2">
        <f t="shared" si="0"/>
        <v>183.41009109917889</v>
      </c>
      <c r="G30" s="2">
        <f t="shared" ref="G30" si="31">MOD(DEGREES(ATAN2(D31-D29, E31-E29 )), 360)</f>
        <v>205.86706378914337</v>
      </c>
      <c r="H30" s="2" t="str">
        <f t="shared" ref="H30" si="32">TEXT(G30/24,"[h]° mm' ss\""")</f>
        <v>205° 52' 01"</v>
      </c>
      <c r="I30" s="1"/>
    </row>
    <row r="31" spans="3:9" x14ac:dyDescent="0.25">
      <c r="C31" s="1">
        <v>13</v>
      </c>
      <c r="D31" s="2">
        <v>1189535.3119999999</v>
      </c>
      <c r="E31" s="2">
        <v>837714.13399999996</v>
      </c>
      <c r="F31" s="1"/>
      <c r="G31" s="1"/>
      <c r="H31" s="1"/>
      <c r="I31" s="2">
        <f t="shared" ref="I31" si="33">G32-G30</f>
        <v>-28.546823644955253</v>
      </c>
    </row>
    <row r="32" spans="3:9" x14ac:dyDescent="0.25">
      <c r="C32" s="1"/>
      <c r="D32" s="1"/>
      <c r="E32" s="1"/>
      <c r="F32" s="2">
        <f t="shared" si="0"/>
        <v>200.21994986008028</v>
      </c>
      <c r="G32" s="2">
        <f t="shared" ref="G32" si="34">MOD(DEGREES(ATAN2(D33-D31, E33-E31 )), 360)</f>
        <v>177.32024014418812</v>
      </c>
      <c r="H32" s="2" t="str">
        <f t="shared" ref="H32" si="35">TEXT(G32/24,"[h]° mm' ss\""")</f>
        <v>177° 19' 13"</v>
      </c>
      <c r="I32" s="1"/>
    </row>
    <row r="33" spans="3:9" x14ac:dyDescent="0.25">
      <c r="C33" s="1">
        <v>14</v>
      </c>
      <c r="D33" s="2">
        <v>1189335.311</v>
      </c>
      <c r="E33" s="2">
        <v>837723.495</v>
      </c>
      <c r="F33" s="1"/>
      <c r="G33" s="1"/>
      <c r="H33" s="1"/>
      <c r="I33" s="2"/>
    </row>
  </sheetData>
  <mergeCells count="6">
    <mergeCell ref="D5:E5"/>
    <mergeCell ref="C5:C6"/>
    <mergeCell ref="F5:F6"/>
    <mergeCell ref="G5:G6"/>
    <mergeCell ref="I5:I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David Sanchez Velez</dc:creator>
  <cp:lastModifiedBy>ELKIN DAVID SANCHEZ VELEZ</cp:lastModifiedBy>
  <dcterms:created xsi:type="dcterms:W3CDTF">2015-06-05T18:19:34Z</dcterms:created>
  <dcterms:modified xsi:type="dcterms:W3CDTF">2025-09-14T01:49:46Z</dcterms:modified>
</cp:coreProperties>
</file>