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13_ncr:1_{9F68335B-BE08-4F28-B789-4A5A11DE61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6" i="1"/>
  <c r="H7" i="1" l="1"/>
  <c r="I8" i="1"/>
  <c r="I18" i="1"/>
  <c r="I16" i="1"/>
  <c r="I14" i="1"/>
  <c r="I12" i="1"/>
  <c r="I10" i="1"/>
  <c r="J12" i="1"/>
  <c r="J14" i="1"/>
  <c r="J16" i="1"/>
  <c r="J18" i="1"/>
  <c r="J8" i="1"/>
  <c r="H11" i="1"/>
  <c r="H13" i="1"/>
  <c r="H15" i="1"/>
  <c r="H17" i="1"/>
  <c r="H19" i="1"/>
  <c r="H9" i="1"/>
  <c r="F9" i="1"/>
  <c r="F11" i="1"/>
  <c r="F13" i="1"/>
  <c r="F15" i="1"/>
  <c r="F17" i="1"/>
  <c r="F19" i="1"/>
  <c r="F7" i="1"/>
  <c r="G11" i="1"/>
  <c r="G13" i="1"/>
  <c r="G15" i="1"/>
  <c r="G17" i="1"/>
  <c r="G19" i="1"/>
  <c r="G9" i="1"/>
  <c r="G7" i="1"/>
</calcChain>
</file>

<file path=xl/sharedStrings.xml><?xml version="1.0" encoding="utf-8"?>
<sst xmlns="http://schemas.openxmlformats.org/spreadsheetml/2006/main" count="93" uniqueCount="70">
  <si>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</si>
  <si>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</si>
  <si>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</si>
  <si>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</si>
  <si>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</si>
  <si>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</si>
  <si>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</si>
  <si>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</si>
  <si>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</si>
  <si>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</si>
  <si>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</si>
  <si>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</si>
  <si>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</si>
  <si>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</si>
  <si>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</si>
  <si>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</si>
  <si>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</si>
  <si>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</si>
  <si>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</si>
  <si>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</si>
  <si>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</si>
  <si>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</si>
  <si>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</si>
  <si>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</si>
  <si>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</si>
  <si>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</si>
  <si>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</si>
  <si>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</si>
  <si>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</si>
  <si>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</si>
  <si>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</si>
  <si>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</si>
  <si>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</si>
  <si>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</si>
  <si>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</si>
  <si>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</si>
  <si>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</si>
  <si>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</si>
  <si>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</si>
  <si>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</si>
  <si>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</si>
  <si>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</si>
  <si>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</si>
  <si>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</si>
  <si>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</si>
  <si>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</si>
  <si>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</si>
  <si>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</si>
  <si>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</si>
  <si>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</si>
  <si>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</si>
  <si>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</si>
  <si>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</si>
  <si>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</si>
  <si>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</si>
  <si>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</si>
  <si>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</si>
  <si>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</si>
  <si>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</si>
  <si>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</si>
  <si>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</si>
  <si>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</si>
  <si>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</si>
  <si>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</si>
  <si>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</si>
  <si>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PI 5</t>
  </si>
  <si>
    <t>DISTANCIA XY
[m]</t>
  </si>
  <si>
    <t>-</t>
  </si>
  <si>
    <t>P2 (Obligatorio)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</si>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</sst>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1"/>
  <sheetViews>
    <sheetView tabSelected="1" topLeftCell="A3" zoomScaleNormal="100" workbookViewId="0">
      <selection activeCell="K16" sqref="K16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12" t="s">
        <v>60</v>
      </c>
      <c r="G2" s="12"/>
      <c r="H2" s="2"/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66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9.3512161093502119E-2</v>
      </c>
      <c r="G7" s="7">
        <f>((C6-C8)^2+(D6-D8)^2)^0.5</f>
        <v>383.90087000667722</v>
      </c>
      <c r="H7" s="7" t="str">
        <f>TEXT(MOD(DEGREES(ATAN2(C8-C6, D8-D6 )), 360)/24,"[h]° mm' ss\""")</f>
        <v>161° 14' 09"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1190589.1542</v>
      </c>
      <c r="D8" s="7">
        <v>838165.34259999997</v>
      </c>
      <c r="E8" s="7">
        <v>1745.9657999999999</v>
      </c>
      <c r="F8" s="2"/>
      <c r="G8" s="2"/>
      <c r="H8" s="2"/>
      <c r="I8" s="7" t="str">
        <f>TEXT(ABS(MOD(DEGREES(ATAN2(C10-C8, D10-D8)) - DEGREES(ATAN2(C8-C6, D8-D6)) + 180, 360) - 180)/24, "[h]° mm' ss\""")</f>
        <v>33° 52' 59"</v>
      </c>
      <c r="J8" s="7" t="str">
        <f>IF( ((C8-C6)*(D10-D8) - (D8-D6)*(C10-C8)) &gt; 0, "Derecha", "Izquierda")</f>
        <v>Derecha</v>
      </c>
      <c r="K8" s="7">
        <v>50</v>
      </c>
      <c r="L8" s="7"/>
      <c r="M8" s="7"/>
      <c r="N8" s="7"/>
      <c r="O8" s="7"/>
      <c r="P8" s="7"/>
      <c r="Q8" s="7"/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2.127283272074235E-2</v>
      </c>
      <c r="G9" s="7">
        <f>((C8-C10)^2+(D8-D10)^2)^0.5</f>
        <v>280.44219960338967</v>
      </c>
      <c r="H9" s="7" t="str">
        <f>TEXT(MOD(DEGREES(ATAN2(C10-C8, D10-D8 )), 360)/24,"[h]° mm' ss\""")</f>
        <v>195° 07' 08"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68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67</v>
      </c>
      <c r="K10" s="7" t="s">
        <v>69</v>
      </c>
      <c r="L10" s="7"/>
      <c r="M10" s="7"/>
      <c r="N10" s="7"/>
      <c r="O10" s="7"/>
      <c r="P10" s="7"/>
      <c r="Q10" s="7"/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7.9041408407619626E-2</v>
      </c>
      <c r="G11" s="7">
        <f t="shared" ref="G11" si="2">((C10-C12)^2+(D10-D12)^2)^0.5</f>
        <v>64.339693616968319</v>
      </c>
      <c r="H11" s="7" t="str">
        <f t="shared" ref="H11" si="3">TEXT(MOD(DEGREES(ATAN2(C12-C10, D12-D10 )), 360)/24,"[h]° mm' ss\""")</f>
        <v>195° 07' 08"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1190256.3063000001</v>
      </c>
      <c r="D12" s="7">
        <v>838075.41579999996</v>
      </c>
      <c r="E12" s="7">
        <v>1734.9145000000001</v>
      </c>
      <c r="F12" s="2"/>
      <c r="G12" s="2"/>
      <c r="H12" s="2"/>
      <c r="I12" s="7" t="str">
        <f>TEXT(ABS(MOD(DEGREES(ATAN2(C14-C12, D14-D12)) - DEGREES(ATAN2(C12-C10, D12-D10)) + 180, 360) - 180)/24, "[h]° mm' ss\""")</f>
        <v>24° 09' 20"</v>
      </c>
      <c r="J12" s="7" t="str">
        <f t="shared" ref="J12" si="4">IF( ((C12-C10)*(D14-D12) - (D12-D10)*(C14-C12)) &gt; 0, "Derecha", "Izquierda")</f>
        <v>Izquierda</v>
      </c>
      <c r="K12" s="7">
        <v>50</v>
      </c>
      <c r="L12" s="7"/>
      <c r="M12" s="7"/>
      <c r="N12" s="7"/>
      <c r="O12" s="7"/>
      <c r="P12" s="7"/>
      <c r="Q12" s="7"/>
      <c r="R12" s="14"/>
      <c r="S12" s="14"/>
    </row>
    <row r="13" spans="2:19" x14ac:dyDescent="0.25">
      <c r="B13" s="4"/>
      <c r="C13" s="2"/>
      <c r="D13" s="2"/>
      <c r="E13" s="2"/>
      <c r="F13" s="19">
        <f t="shared" ref="F13" si="5">(ABS(E12-E14)/G13)</f>
        <v>1.0058329096366151E-2</v>
      </c>
      <c r="G13" s="7">
        <f t="shared" ref="G13" si="6">((C12-C14)^2+(D12-D14)^2)^0.5</f>
        <v>216.93463984871246</v>
      </c>
      <c r="H13" s="7" t="str">
        <f t="shared" ref="H13" si="7">TEXT(MOD(DEGREES(ATAN2(C14-C12, D14-D12 )), 360)/24,"[h]° mm' ss\""")</f>
        <v>170° 57' 48"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1190042.0643</v>
      </c>
      <c r="D14" s="7">
        <v>838109.48930000002</v>
      </c>
      <c r="E14" s="7">
        <v>1732.7325000000001</v>
      </c>
      <c r="F14" s="2"/>
      <c r="G14" s="2"/>
      <c r="H14" s="2"/>
      <c r="I14" s="7" t="str">
        <f>TEXT(ABS(MOD(DEGREES(ATAN2(C16-C14, D16-D14)) - DEGREES(ATAN2(C14-C12, D14-D12)) + 180, 360) - 180)/24, "[h]° mm' ss\""")</f>
        <v>122° 14' 16"</v>
      </c>
      <c r="J14" s="7" t="str">
        <f t="shared" ref="J14" si="8">IF( ((C14-C12)*(D16-D14) - (D14-D12)*(C16-C14)) &gt; 0, "Derecha", "Izquierda")</f>
        <v>Derecha</v>
      </c>
      <c r="K14" s="7">
        <v>40</v>
      </c>
      <c r="L14" s="7"/>
      <c r="M14" s="7"/>
      <c r="N14" s="7"/>
      <c r="O14" s="7"/>
      <c r="P14" s="7"/>
      <c r="Q14" s="7"/>
      <c r="R14" s="14"/>
      <c r="S14" s="7"/>
    </row>
    <row r="15" spans="2:19" x14ac:dyDescent="0.25">
      <c r="B15" s="4"/>
      <c r="C15" s="2"/>
      <c r="D15" s="2"/>
      <c r="E15" s="2"/>
      <c r="F15" s="19">
        <f t="shared" ref="F15" si="9">(ABS(E14-E16)/G15)</f>
        <v>0.18737029675951541</v>
      </c>
      <c r="G15" s="7">
        <f t="shared" ref="G15" si="10">((C14-C16)^2+(D14-D16)^2)^0.5</f>
        <v>529.43823922807655</v>
      </c>
      <c r="H15" s="7" t="str">
        <f t="shared" ref="H15" si="11">TEXT(MOD(DEGREES(ATAN2(C16-C14, D16-D14 )), 360)/24,"[h]° mm' ss\""")</f>
        <v>293° 12' 04"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1190250.6406</v>
      </c>
      <c r="D16" s="7">
        <v>837622.86750000005</v>
      </c>
      <c r="E16" s="7">
        <v>1633.5315000000001</v>
      </c>
      <c r="F16" s="2"/>
      <c r="G16" s="2"/>
      <c r="H16" s="2"/>
      <c r="I16" s="7" t="str">
        <f>TEXT(ABS(MOD(DEGREES(ATAN2(C18-C16, D18-D16)) - DEGREES(ATAN2(C16-C14, D16-D14)) + 180, 360) - 180)/24, "[h]° mm' ss\""")</f>
        <v>130° 26' 09"</v>
      </c>
      <c r="J16" s="7" t="str">
        <f t="shared" ref="J16" si="12">IF( ((C16-C14)*(D18-D16) - (D16-D14)*(C18-C16)) &gt; 0, "Derecha", "Izquierda")</f>
        <v>Izquierda</v>
      </c>
      <c r="K16" s="7">
        <f>C2+10</f>
        <v>50</v>
      </c>
      <c r="L16" s="7"/>
      <c r="M16" s="7"/>
      <c r="N16" s="7"/>
      <c r="O16" s="7"/>
      <c r="P16" s="7"/>
      <c r="Q16" s="7"/>
      <c r="R16" s="14"/>
      <c r="S16" s="14"/>
    </row>
    <row r="17" spans="2:19" x14ac:dyDescent="0.25">
      <c r="B17" s="4"/>
      <c r="C17" s="2"/>
      <c r="D17" s="2"/>
      <c r="E17" s="2"/>
      <c r="F17" s="19">
        <f t="shared" ref="F17" si="13">(ABS(E16-E18)/G17)</f>
        <v>0.24948257463763157</v>
      </c>
      <c r="G17" s="7">
        <f t="shared" ref="G17" si="14">((C16-C18)^2+(D16-D18)^2)^0.5</f>
        <v>443.52356135781787</v>
      </c>
      <c r="H17" s="7" t="str">
        <f t="shared" ref="H17" si="15">TEXT(MOD(DEGREES(ATAN2(C18-C16, D18-D16 )), 360)/24,"[h]° mm' ss\""")</f>
        <v>162° 45' 55"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65</v>
      </c>
      <c r="C18" s="7">
        <v>1189827.0319999999</v>
      </c>
      <c r="D18" s="7">
        <v>837754.27870000002</v>
      </c>
      <c r="E18" s="7">
        <v>1744.1829</v>
      </c>
      <c r="F18" s="2"/>
      <c r="G18" s="2"/>
      <c r="H18" s="2"/>
      <c r="I18" s="7" t="str">
        <f>TEXT(ABS(MOD(DEGREES(ATAN2(C20-C18, D20-D18)) - DEGREES(ATAN2(C18-C16, D18-D16)) + 180, 360) - 180)/24, "[h]° mm' ss\""")</f>
        <v>20° 49' 02"</v>
      </c>
      <c r="J18" s="7" t="str">
        <f t="shared" ref="J18" si="16">IF( ((C18-C16)*(D20-D18) - (D18-D16)*(C20-C18)) &gt; 0, "Derecha", "Izquierda")</f>
        <v>Derecha</v>
      </c>
      <c r="K18" s="7">
        <f>C2+10</f>
        <v>50</v>
      </c>
      <c r="L18" s="7"/>
      <c r="M18" s="7"/>
      <c r="N18" s="7"/>
      <c r="O18" s="7"/>
      <c r="P18" s="7"/>
      <c r="Q18" s="7"/>
      <c r="R18" s="14"/>
      <c r="S18" s="7"/>
    </row>
    <row r="19" spans="2:19" x14ac:dyDescent="0.25">
      <c r="B19" s="4"/>
      <c r="C19" s="2"/>
      <c r="D19" s="2"/>
      <c r="E19" s="2"/>
      <c r="F19" s="19">
        <f t="shared" ref="F19" si="17">(ABS(E18-E20)/G19)</f>
        <v>0.13030247731119496</v>
      </c>
      <c r="G19" s="7">
        <f t="shared" ref="G19" si="18">((C18-C20)^2+(D18-D20)^2)^0.5</f>
        <v>492.68364903515572</v>
      </c>
      <c r="H19" s="7" t="str">
        <f t="shared" ref="H19" si="19">TEXT(MOD(DEGREES(ATAN2(C20-C18, D20-D18 )), 360)/24,"[h]° mm' ss\""")</f>
        <v>183° 34' 56"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x14ac:dyDescent="0.25">
      <c r="B20" s="5" t="s">
        <v>23</v>
      </c>
      <c r="C20" s="7">
        <v>1189335.311</v>
      </c>
      <c r="D20" s="7">
        <v>837723.495</v>
      </c>
      <c r="E20" s="7">
        <v>1679.9849999999999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5"/>
      <c r="S20" s="16"/>
    </row>
    <row r="21" spans="2:19" x14ac:dyDescent="0.25">
      <c r="B21" s="5" t="s">
        <v>24</v>
      </c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"/>
      <c r="S21" s="7"/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60" zoomScaleNormal="160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2025-10-05T22:50:29Z</dcterms:modified>
  <cp:category/>
  <cp:contentStatus/>
</cp:coreProperties>
</file>