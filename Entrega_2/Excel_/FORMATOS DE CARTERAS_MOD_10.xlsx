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elkin\Desktop\Vias\DGV\Entrega_2\"/>
    </mc:Choice>
  </mc:AlternateContent>
  <xr:revisionPtr revIDLastSave="0" documentId="8_{0860382F-6285-4E9F-B869-52F4F3A7CC2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H" sheetId="1" r:id="rId1"/>
    <sheet name="PERALTE" sheetId="3" r:id="rId2"/>
    <sheet name="AV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2" i="1" l="1"/>
  <c r="Q14" i="1"/>
  <c r="Q16" i="1"/>
  <c r="Q8" i="1"/>
  <c r="N12" i="1"/>
  <c r="O12" i="1" l="1"/>
  <c r="P12" i="1" s="1"/>
  <c r="O14" i="1"/>
  <c r="P14" i="1" s="1"/>
  <c r="O16" i="1"/>
  <c r="P16" i="1" s="1"/>
  <c r="O8" i="1"/>
  <c r="P8" i="1" s="1"/>
  <c r="N14" i="1"/>
  <c r="N16" i="1"/>
  <c r="N8" i="1"/>
  <c r="M12" i="1"/>
  <c r="M14" i="1"/>
  <c r="M16" i="1"/>
  <c r="M8" i="1"/>
  <c r="I16" i="1"/>
  <c r="J16" i="1"/>
  <c r="G17" i="1"/>
  <c r="F17" i="1" s="1"/>
  <c r="H17" i="1"/>
  <c r="G11" i="1"/>
  <c r="H7" i="1" l="1"/>
  <c r="I8" i="1"/>
  <c r="I14" i="1"/>
  <c r="I12" i="1"/>
  <c r="I10" i="1"/>
  <c r="J12" i="1"/>
  <c r="J14" i="1"/>
  <c r="J8" i="1"/>
  <c r="H11" i="1"/>
  <c r="H13" i="1"/>
  <c r="H15" i="1"/>
  <c r="H9" i="1"/>
  <c r="F11" i="1"/>
  <c r="G13" i="1"/>
  <c r="F13" i="1" s="1"/>
  <c r="G15" i="1"/>
  <c r="F15" i="1" s="1"/>
  <c r="G9" i="1"/>
  <c r="F9" i="1" s="1"/>
  <c r="G7" i="1"/>
  <c r="F7" i="1" s="1"/>
</calcChain>
</file>

<file path=xl/sharedStrings.xml><?xml version="1.0" encoding="utf-8"?>
<sst xmlns="http://schemas.openxmlformats.org/spreadsheetml/2006/main" count="98" uniqueCount="68">
  <si>
    <r>
      <t>V</t>
    </r>
    <r>
      <rPr>
        <b/>
        <vertAlign val="subscript"/>
        <sz val="11"/>
        <color theme="0"/>
        <rFont val="Calibri"/>
        <family val="2"/>
        <scheme val="minor"/>
      </rPr>
      <t>TR</t>
    </r>
    <r>
      <rPr>
        <b/>
        <sz val="11"/>
        <color theme="0"/>
        <rFont val="Calibri"/>
        <family val="2"/>
        <scheme val="minor"/>
      </rPr>
      <t xml:space="preserve"> [km/h]</t>
    </r>
  </si>
  <si>
    <t>c [m]</t>
  </si>
  <si>
    <t>PUNTO</t>
  </si>
  <si>
    <t>COORDENADAS</t>
  </si>
  <si>
    <t>PENDIENTE
[%]</t>
  </si>
  <si>
    <t>AZIMUT
[°   '   '']</t>
  </si>
  <si>
    <r>
      <t xml:space="preserve">DEFLEXION - </t>
    </r>
    <r>
      <rPr>
        <b/>
        <sz val="11"/>
        <color theme="0"/>
        <rFont val="Calibri"/>
        <family val="2"/>
      </rPr>
      <t>Δ</t>
    </r>
  </si>
  <si>
    <r>
      <t>V</t>
    </r>
    <r>
      <rPr>
        <b/>
        <vertAlign val="subscript"/>
        <sz val="11"/>
        <color theme="0"/>
        <rFont val="Calibri"/>
        <family val="2"/>
        <scheme val="minor"/>
      </rPr>
      <t>CH</t>
    </r>
    <r>
      <rPr>
        <b/>
        <sz val="11"/>
        <color theme="0"/>
        <rFont val="Calibri"/>
        <family val="2"/>
        <scheme val="minor"/>
      </rPr>
      <t xml:space="preserve">
[km/h]</t>
    </r>
  </si>
  <si>
    <r>
      <t>R</t>
    </r>
    <r>
      <rPr>
        <b/>
        <vertAlign val="subscript"/>
        <sz val="11"/>
        <color theme="0"/>
        <rFont val="Calibri"/>
        <family val="2"/>
        <scheme val="minor"/>
      </rPr>
      <t>min</t>
    </r>
    <r>
      <rPr>
        <b/>
        <sz val="11"/>
        <color theme="0"/>
        <rFont val="Calibri"/>
        <family val="2"/>
        <scheme val="minor"/>
      </rPr>
      <t xml:space="preserve">
[m]</t>
    </r>
  </si>
  <si>
    <r>
      <t>G</t>
    </r>
    <r>
      <rPr>
        <b/>
        <vertAlign val="subscript"/>
        <sz val="11"/>
        <color theme="0"/>
        <rFont val="Calibri"/>
        <family val="2"/>
        <scheme val="minor"/>
      </rPr>
      <t>c max</t>
    </r>
    <r>
      <rPr>
        <b/>
        <sz val="11"/>
        <color theme="0"/>
        <rFont val="Calibri"/>
        <family val="2"/>
        <scheme val="minor"/>
      </rPr>
      <t xml:space="preserve">
[°   '   '']</t>
    </r>
  </si>
  <si>
    <r>
      <t>G</t>
    </r>
    <r>
      <rPr>
        <b/>
        <vertAlign val="subscript"/>
        <sz val="11"/>
        <color theme="0"/>
        <rFont val="Calibri"/>
        <family val="2"/>
        <scheme val="minor"/>
      </rPr>
      <t>redondo</t>
    </r>
    <r>
      <rPr>
        <b/>
        <sz val="11"/>
        <color theme="0"/>
        <rFont val="Calibri"/>
        <family val="2"/>
        <scheme val="minor"/>
      </rPr>
      <t xml:space="preserve">
[°   '   '']</t>
    </r>
  </si>
  <si>
    <t>Rdefi</t>
  </si>
  <si>
    <t>T
[m]</t>
  </si>
  <si>
    <r>
      <t>L</t>
    </r>
    <r>
      <rPr>
        <b/>
        <vertAlign val="subscript"/>
        <sz val="11"/>
        <color theme="0"/>
        <rFont val="Calibri"/>
        <family val="2"/>
        <scheme val="minor"/>
      </rPr>
      <t>c</t>
    </r>
    <r>
      <rPr>
        <b/>
        <sz val="11"/>
        <color theme="0"/>
        <rFont val="Calibri"/>
        <family val="2"/>
        <scheme val="minor"/>
      </rPr>
      <t xml:space="preserve">
[m]</t>
    </r>
  </si>
  <si>
    <t>ABSCISAS</t>
  </si>
  <si>
    <t>NORTE</t>
  </si>
  <si>
    <t>ESTE</t>
  </si>
  <si>
    <t>[°   '   '']</t>
  </si>
  <si>
    <t>SENTIDO</t>
  </si>
  <si>
    <t>PC</t>
  </si>
  <si>
    <t>PT</t>
  </si>
  <si>
    <t>P1 (Inicial)</t>
  </si>
  <si>
    <t>PI</t>
  </si>
  <si>
    <t>P3 (Final)</t>
  </si>
  <si>
    <t>P2</t>
  </si>
  <si>
    <r>
      <t>E</t>
    </r>
    <r>
      <rPr>
        <b/>
        <vertAlign val="subscript"/>
        <sz val="11"/>
        <color theme="0"/>
        <rFont val="Calibri"/>
        <family val="2"/>
        <scheme val="minor"/>
      </rPr>
      <t>Real</t>
    </r>
    <r>
      <rPr>
        <b/>
        <sz val="11"/>
        <color theme="0"/>
        <rFont val="Calibri"/>
        <family val="2"/>
        <scheme val="minor"/>
      </rPr>
      <t xml:space="preserve">
[m]</t>
    </r>
  </si>
  <si>
    <r>
      <t>E</t>
    </r>
    <r>
      <rPr>
        <b/>
        <vertAlign val="subscript"/>
        <sz val="11"/>
        <color theme="0"/>
        <rFont val="Calibri"/>
        <family val="2"/>
        <scheme val="minor"/>
      </rPr>
      <t>Ideal</t>
    </r>
    <r>
      <rPr>
        <b/>
        <sz val="11"/>
        <color theme="0"/>
        <rFont val="Calibri"/>
        <family val="2"/>
        <scheme val="minor"/>
      </rPr>
      <t xml:space="preserve">
[m]</t>
    </r>
  </si>
  <si>
    <t>N
[m]</t>
  </si>
  <si>
    <t>LR
[m]</t>
  </si>
  <si>
    <t>% LR en recta</t>
  </si>
  <si>
    <r>
      <t>Db</t>
    </r>
    <r>
      <rPr>
        <b/>
        <vertAlign val="subscript"/>
        <sz val="11"/>
        <color theme="0"/>
        <rFont val="Calibri"/>
        <family val="2"/>
        <scheme val="minor"/>
      </rPr>
      <t>Real</t>
    </r>
    <r>
      <rPr>
        <b/>
        <sz val="11"/>
        <color theme="0"/>
        <rFont val="Calibri"/>
        <family val="2"/>
        <scheme val="minor"/>
      </rPr>
      <t xml:space="preserve">
[m]</t>
    </r>
  </si>
  <si>
    <t>ABSCISAS DE ENTRADA</t>
  </si>
  <si>
    <t>ABSCISAS DE CURVA</t>
  </si>
  <si>
    <t xml:space="preserve"> Fin Db</t>
  </si>
  <si>
    <t>Aplanam.</t>
  </si>
  <si>
    <t>e = b</t>
  </si>
  <si>
    <t>x</t>
  </si>
  <si>
    <t>emáx</t>
  </si>
  <si>
    <t>Inicio Db</t>
  </si>
  <si>
    <t>TANGENTE</t>
  </si>
  <si>
    <t>LONGITUD
[m]</t>
  </si>
  <si>
    <r>
      <t>V</t>
    </r>
    <r>
      <rPr>
        <b/>
        <vertAlign val="subscript"/>
        <sz val="11"/>
        <color theme="0"/>
        <rFont val="Calibri"/>
        <family val="2"/>
        <scheme val="minor"/>
      </rPr>
      <t>TV</t>
    </r>
    <r>
      <rPr>
        <b/>
        <sz val="11"/>
        <color theme="0"/>
        <rFont val="Calibri"/>
        <family val="2"/>
        <scheme val="minor"/>
      </rPr>
      <t xml:space="preserve">
[km/h]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</si>
  <si>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min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</si>
  <si>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critico</t>
    </r>
    <r>
      <rPr>
        <b/>
        <sz val="11"/>
        <color theme="0"/>
        <rFont val="Calibri"/>
        <family val="2"/>
        <scheme val="minor"/>
      </rPr>
      <t xml:space="preserve">
[m]</t>
    </r>
  </si>
  <si>
    <t>PIV</t>
  </si>
  <si>
    <r>
      <t>V</t>
    </r>
    <r>
      <rPr>
        <b/>
        <vertAlign val="subscript"/>
        <sz val="11"/>
        <color theme="0"/>
        <rFont val="Calibri"/>
        <family val="2"/>
        <scheme val="minor"/>
      </rPr>
      <t>CV</t>
    </r>
    <r>
      <rPr>
        <b/>
        <sz val="11"/>
        <color theme="0"/>
        <rFont val="Calibri"/>
        <family val="2"/>
        <scheme val="minor"/>
      </rPr>
      <t xml:space="preserve">
[km/h]</t>
    </r>
  </si>
  <si>
    <t>A
[%]</t>
  </si>
  <si>
    <r>
      <t>L</t>
    </r>
    <r>
      <rPr>
        <b/>
        <vertAlign val="subscript"/>
        <sz val="11"/>
        <color theme="0"/>
        <rFont val="Calibri"/>
        <family val="2"/>
        <scheme val="minor"/>
      </rPr>
      <t>CV min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</si>
  <si>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CV máx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</si>
  <si>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CV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</si>
  <si>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V1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</si>
  <si>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V2</t>
    </r>
    <r>
      <rPr>
        <b/>
        <sz val="11"/>
        <color theme="0"/>
        <rFont val="Calibri"/>
        <family val="2"/>
        <scheme val="minor"/>
      </rPr>
      <t xml:space="preserve">
[m]</t>
    </r>
  </si>
  <si>
    <t>EXTERNA
(m)</t>
  </si>
  <si>
    <t>TIPO DE CURVA</t>
  </si>
  <si>
    <t>COTAS</t>
  </si>
  <si>
    <t>CONCAVIDAD</t>
  </si>
  <si>
    <t>SIMETRÍA</t>
  </si>
  <si>
    <t>PCV</t>
  </si>
  <si>
    <t>PTV</t>
  </si>
  <si>
    <t>COTA</t>
  </si>
  <si>
    <t>emáx  [%]</t>
  </si>
  <si>
    <t>PI 1</t>
  </si>
  <si>
    <t>PI 2</t>
  </si>
  <si>
    <t>PI 3</t>
  </si>
  <si>
    <t>PI 4</t>
  </si>
  <si>
    <t>DISTANCIA XY
[m]</t>
  </si>
  <si>
    <t>-</t>
  </si>
  <si>
    <t>P2 (Obligatorio)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</si>
</sst>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K&quot;#&quot;+&quot;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vertAlign val="subscript"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1" fillId="4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9" fontId="0" fillId="2" borderId="1" xfId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19"/>
  <sheetViews>
    <sheetView tabSelected="1" zoomScale="70" zoomScaleNormal="70" workbookViewId="0">
      <selection activeCell="B2" sqref="B2:S19"/>
    </sheetView>
  </sheetViews>
  <sheetFormatPr baseColWidth="10" defaultColWidth="11.42578125" defaultRowHeight="15" x14ac:dyDescent="0.25"/>
  <cols>
    <col min="1" max="1" width="5.7109375" style="1" customWidth="1"/>
    <col min="2" max="2" width="18.42578125" style="1" customWidth="1"/>
    <col min="3" max="3" width="11.42578125" style="1" customWidth="1"/>
    <col min="4" max="4" width="10.7109375" style="1" customWidth="1"/>
    <col min="5" max="5" width="16.140625" style="1" customWidth="1"/>
    <col min="6" max="7" width="11.42578125" style="1" customWidth="1"/>
    <col min="8" max="14" width="11.42578125" style="1"/>
    <col min="15" max="16" width="11.85546875" style="1" bestFit="1" customWidth="1"/>
    <col min="17" max="16384" width="11.42578125" style="1"/>
  </cols>
  <sheetData>
    <row r="2" spans="2:19" ht="18" x14ac:dyDescent="0.25">
      <c r="B2" s="12" t="s">
        <v>0</v>
      </c>
      <c r="C2" s="2">
        <v>40</v>
      </c>
      <c r="E2" s="12" t="s">
        <v>1</v>
      </c>
      <c r="F2" s="2">
        <v>5</v>
      </c>
      <c r="H2" s="12" t="s">
        <v>60</v>
      </c>
      <c r="I2" s="2">
        <v>8</v>
      </c>
    </row>
    <row r="4" spans="2:19" ht="15" customHeight="1" x14ac:dyDescent="0.25">
      <c r="B4" s="25" t="s">
        <v>2</v>
      </c>
      <c r="C4" s="20" t="s">
        <v>3</v>
      </c>
      <c r="D4" s="21"/>
      <c r="E4" s="28" t="s">
        <v>59</v>
      </c>
      <c r="F4" s="22" t="s">
        <v>4</v>
      </c>
      <c r="G4" s="22" t="s">
        <v>65</v>
      </c>
      <c r="H4" s="22" t="s">
        <v>5</v>
      </c>
      <c r="I4" s="30" t="s">
        <v>6</v>
      </c>
      <c r="J4" s="31"/>
      <c r="K4" s="17" t="s">
        <v>7</v>
      </c>
      <c r="L4" s="22" t="s">
        <v>8</v>
      </c>
      <c r="M4" s="22" t="s">
        <v>9</v>
      </c>
      <c r="N4" s="24" t="s">
        <v>10</v>
      </c>
      <c r="O4" s="13" t="s">
        <v>11</v>
      </c>
      <c r="P4" s="24" t="s">
        <v>12</v>
      </c>
      <c r="Q4" s="24" t="s">
        <v>13</v>
      </c>
      <c r="R4" s="25" t="s">
        <v>14</v>
      </c>
      <c r="S4" s="25"/>
    </row>
    <row r="5" spans="2:19" ht="27" customHeight="1" x14ac:dyDescent="0.25">
      <c r="B5" s="25"/>
      <c r="C5" s="12" t="s">
        <v>15</v>
      </c>
      <c r="D5" s="12" t="s">
        <v>16</v>
      </c>
      <c r="E5" s="29"/>
      <c r="F5" s="23"/>
      <c r="G5" s="23"/>
      <c r="H5" s="23"/>
      <c r="I5" s="12" t="s">
        <v>17</v>
      </c>
      <c r="J5" s="12" t="s">
        <v>18</v>
      </c>
      <c r="K5" s="18"/>
      <c r="L5" s="23"/>
      <c r="M5" s="23"/>
      <c r="N5" s="25"/>
      <c r="O5" s="12"/>
      <c r="P5" s="25"/>
      <c r="Q5" s="25"/>
      <c r="R5" s="12" t="s">
        <v>19</v>
      </c>
      <c r="S5" s="12" t="s">
        <v>20</v>
      </c>
    </row>
    <row r="6" spans="2:19" x14ac:dyDescent="0.25">
      <c r="B6" s="5" t="s">
        <v>21</v>
      </c>
      <c r="C6" s="7">
        <v>1190952.6509</v>
      </c>
      <c r="D6" s="7">
        <v>838041.85160000005</v>
      </c>
      <c r="E6" s="7">
        <v>1710.0663999999999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6"/>
      <c r="S6" s="27"/>
    </row>
    <row r="7" spans="2:19" x14ac:dyDescent="0.25">
      <c r="B7" s="4"/>
      <c r="C7" s="2"/>
      <c r="D7" s="2"/>
      <c r="E7" s="2"/>
      <c r="F7" s="19">
        <f>(ABS(E6-E8)/G7)</f>
        <v>8.3230833303875568E-2</v>
      </c>
      <c r="G7" s="7">
        <f>((C6-C8)^2+(D6-D8)^2)^0.5</f>
        <v>315.62942430346561</v>
      </c>
      <c r="H7" s="7" t="str">
        <f>TEXT(MOD(DEGREES(ATAN2(C8-C6, D8-D6 )), 360)/24,"[h]° mm' ss\""")</f>
        <v>180° 57' 41"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x14ac:dyDescent="0.25">
      <c r="B8" s="5" t="s">
        <v>61</v>
      </c>
      <c r="C8" s="7">
        <v>1190637.0659</v>
      </c>
      <c r="D8" s="7">
        <v>838036.55619999999</v>
      </c>
      <c r="E8" s="7">
        <v>1736.3364999999999</v>
      </c>
      <c r="F8" s="2"/>
      <c r="G8" s="2"/>
      <c r="H8" s="2"/>
      <c r="I8" s="7" t="str">
        <f>TEXT(ABS(MOD(DEGREES(ATAN2(C10-C8, D10-D8)) - DEGREES(ATAN2(C8-C6, D8-D6)) + 180, 360) - 180)/24, "[h]° mm' ss\""")</f>
        <v>10° 51' 58"</v>
      </c>
      <c r="J8" s="7" t="str">
        <f>IF( ((C8-C6)*(D10-D8) - (D8-D6)*(C10-C8)) &gt; 0, "Derecha", "Izquierda")</f>
        <v>Izquierda</v>
      </c>
      <c r="K8" s="7">
        <v>60</v>
      </c>
      <c r="L8" s="7">
        <v>113</v>
      </c>
      <c r="M8" s="7" t="str">
        <f>TEXT(DEGREES(2*ASIN($F$2/(2*L8)))/24, "[h]° mm' ss\""")</f>
        <v>2° 32' 08"</v>
      </c>
      <c r="N8" s="7" t="str">
        <f>TEXT( (INT(DEGREES(2*ASIN($F$2/(2*L8)))*2)/2) /24, "[h]° mm' ss\""")</f>
        <v>2° 30' 00"</v>
      </c>
      <c r="O8" s="7">
        <f>$F$2/(2*SIN(RADIANS(INT(DEGREES(2*ASIN($F$2/(2*L8)))*2)/2)/2))</f>
        <v>114.60064978748562</v>
      </c>
      <c r="P8" s="7">
        <f>O8*TAN((ABS(RADIANS((MOD(DEGREES(ATAN2(C10-C8, D10-D8)) - DEGREES(ATAN2(C8-C6, D8-D6)) + 180, 360) - 180))))/2)</f>
        <v>10.899751307708526</v>
      </c>
      <c r="Q8" s="7">
        <f>($F$2*ABS(MOD(DEGREES(ATAN2(C10-C8, D10-D8)) - DEGREES(ATAN2(C8-C6, D8-D6)) + 180, 360) - 180))/(INT(DEGREES(2*ASIN($F$2/(2*L8)))*2)/2)</f>
        <v>21.732399894362743</v>
      </c>
      <c r="R8" s="14"/>
      <c r="S8" s="14"/>
    </row>
    <row r="9" spans="2:19" x14ac:dyDescent="0.25">
      <c r="B9" s="4"/>
      <c r="C9" s="2"/>
      <c r="D9" s="2"/>
      <c r="E9" s="2"/>
      <c r="F9" s="19">
        <f t="shared" ref="F9" si="0">(ABS(E8-E10)/G9)</f>
        <v>1.1325684535336064E-2</v>
      </c>
      <c r="G9" s="7">
        <f>((C8-C10)^2+(D8-D10)^2)^0.5</f>
        <v>323.46830680035418</v>
      </c>
      <c r="H9" s="7" t="str">
        <f>TEXT(MOD(DEGREES(ATAN2(C10-C8, D10-D8 )), 360)/24,"[h]° mm' ss\""")</f>
        <v>170° 05' 42"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2:19" x14ac:dyDescent="0.25">
      <c r="B10" s="5" t="s">
        <v>67</v>
      </c>
      <c r="C10" s="7">
        <v>1190318.419</v>
      </c>
      <c r="D10" s="7">
        <v>838092.19700000004</v>
      </c>
      <c r="E10" s="7">
        <v>1740</v>
      </c>
      <c r="F10" s="2"/>
      <c r="G10" s="2"/>
      <c r="H10" s="2"/>
      <c r="I10" s="7" t="str">
        <f>TEXT(ABS(MOD(DEGREES(ATAN2(C12-C10, D12-D10)) - DEGREES(ATAN2(C10-C8, D10-D8)) + 180, 360) - 180)/24, "[h]° mm' ss\""")</f>
        <v>0° 00' 00"</v>
      </c>
      <c r="J10" s="7" t="s">
        <v>66</v>
      </c>
      <c r="K10" s="7" t="s">
        <v>66</v>
      </c>
      <c r="L10" s="7" t="s">
        <v>66</v>
      </c>
      <c r="M10" s="7" t="s">
        <v>66</v>
      </c>
      <c r="N10" s="7" t="s">
        <v>66</v>
      </c>
      <c r="O10" s="7" t="s">
        <v>66</v>
      </c>
      <c r="P10" s="7" t="s">
        <v>66</v>
      </c>
      <c r="Q10" s="7" t="s">
        <v>66</v>
      </c>
      <c r="R10" s="14"/>
      <c r="S10" s="7"/>
    </row>
    <row r="11" spans="2:19" x14ac:dyDescent="0.25">
      <c r="B11" s="4"/>
      <c r="C11" s="2"/>
      <c r="D11" s="2"/>
      <c r="E11" s="2"/>
      <c r="F11" s="19">
        <f t="shared" ref="F11" si="1">(ABS(E10-E12)/G11)</f>
        <v>0.12912030838152672</v>
      </c>
      <c r="G11" s="7">
        <f>((C10-C12)^2+(D10-D12)^2)^0.5</f>
        <v>362.24975440572814</v>
      </c>
      <c r="H11" s="7" t="str">
        <f t="shared" ref="H11" si="2">TEXT(MOD(DEGREES(ATAN2(C12-C10, D12-D10 )), 360)/24,"[h]° mm' ss\""")</f>
        <v>170° 05' 42"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2:19" x14ac:dyDescent="0.25">
      <c r="B12" s="5" t="s">
        <v>62</v>
      </c>
      <c r="C12" s="7">
        <v>1189961.5686999999</v>
      </c>
      <c r="D12" s="7">
        <v>838154.50870000001</v>
      </c>
      <c r="E12" s="7">
        <v>1786.7737999999999</v>
      </c>
      <c r="F12" s="2"/>
      <c r="G12" s="2"/>
      <c r="H12" s="2"/>
      <c r="I12" s="7" t="str">
        <f>TEXT(ABS(MOD(DEGREES(ATAN2(C14-C12, D14-D12)) - DEGREES(ATAN2(C12-C10, D12-D10)) + 180, 360) - 180)/24, "[h]° mm' ss\""")</f>
        <v>136° 31' 59"</v>
      </c>
      <c r="J12" s="7" t="str">
        <f t="shared" ref="J12" si="3">IF( ((C12-C10)*(D14-D12) - (D12-D10)*(C14-C12)) &gt; 0, "Derecha", "Izquierda")</f>
        <v>Derecha</v>
      </c>
      <c r="K12" s="7">
        <v>60</v>
      </c>
      <c r="L12" s="7">
        <v>113</v>
      </c>
      <c r="M12" s="7" t="str">
        <f t="shared" ref="M12" si="4">TEXT(DEGREES(2*ASIN($F$2/(2*L12)))/24, "[h]° mm' ss\""")</f>
        <v>2° 32' 08"</v>
      </c>
      <c r="N12" s="7" t="str">
        <f>TEXT( (INT(DEGREES(2*ASIN($F$2/(2*L12)))*2)/2) /24, "[h]° mm' ss\""")</f>
        <v>2° 30' 00"</v>
      </c>
      <c r="O12" s="7">
        <f t="shared" ref="O12:O16" si="5">$F$2/(2*SIN(RADIANS(INT(DEGREES(2*ASIN($F$2/(2*L12)))*2)/2)/2))</f>
        <v>114.60064978748562</v>
      </c>
      <c r="P12" s="7">
        <f t="shared" ref="P12" si="6">O12*TAN((ABS(RADIANS((MOD(DEGREES(ATAN2(C14-C12, D14-D12)) - DEGREES(ATAN2(C12-C10, D12-D10)) + 180, 360) - 180))))/2)</f>
        <v>287.4899134179521</v>
      </c>
      <c r="Q12" s="7">
        <f t="shared" ref="Q12" si="7">($F$2*ABS(MOD(DEGREES(ATAN2(C14-C12, D14-D12)) - DEGREES(ATAN2(C12-C10, D12-D10)) + 180, 360) - 180))/(INT(DEGREES(2*ASIN($F$2/(2*L12)))*2)/2)</f>
        <v>273.06616347535021</v>
      </c>
      <c r="R12" s="14"/>
      <c r="S12" s="14"/>
    </row>
    <row r="13" spans="2:19" x14ac:dyDescent="0.25">
      <c r="B13" s="4"/>
      <c r="C13" s="2"/>
      <c r="D13" s="2"/>
      <c r="E13" s="2"/>
      <c r="F13" s="19">
        <f t="shared" ref="F13" si="8">(ABS(E12-E14)/G13)</f>
        <v>0.30017859842756672</v>
      </c>
      <c r="G13" s="7">
        <f t="shared" ref="G13" si="9">((C12-C14)^2+(D12-D14)^2)^0.5</f>
        <v>782.11371906532167</v>
      </c>
      <c r="H13" s="7" t="str">
        <f t="shared" ref="H13" si="10">TEXT(MOD(DEGREES(ATAN2(C14-C12, D14-D12 )), 360)/24,"[h]° mm' ss\""")</f>
        <v>306° 37' 42"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2:19" x14ac:dyDescent="0.25">
      <c r="B14" s="5" t="s">
        <v>63</v>
      </c>
      <c r="C14" s="7">
        <v>1190428.1932999999</v>
      </c>
      <c r="D14" s="7">
        <v>837526.84369999997</v>
      </c>
      <c r="E14" s="7">
        <v>1552</v>
      </c>
      <c r="F14" s="2"/>
      <c r="G14" s="2"/>
      <c r="H14" s="2"/>
      <c r="I14" s="7" t="str">
        <f>TEXT(ABS(MOD(DEGREES(ATAN2(C16-C14, D16-D14)) - DEGREES(ATAN2(C14-C12, D14-D12)) + 180, 360) - 180)/24, "[h]° mm' ss\""")</f>
        <v>147° 21' 04"</v>
      </c>
      <c r="J14" s="7" t="str">
        <f t="shared" ref="J14" si="11">IF( ((C14-C12)*(D16-D14) - (D14-D12)*(C16-C14)) &gt; 0, "Derecha", "Izquierda")</f>
        <v>Izquierda</v>
      </c>
      <c r="K14" s="7">
        <v>60</v>
      </c>
      <c r="L14" s="7">
        <v>113</v>
      </c>
      <c r="M14" s="7" t="str">
        <f t="shared" ref="M14" si="12">TEXT(DEGREES(2*ASIN($F$2/(2*L14)))/24, "[h]° mm' ss\""")</f>
        <v>2° 32' 08"</v>
      </c>
      <c r="N14" s="7" t="str">
        <f t="shared" ref="N14:N16" si="13">TEXT( (INT(DEGREES(2*ASIN($F$2/(2*L14)))*2)/2) /24, "[h]° mm' ss\""")</f>
        <v>2° 30' 00"</v>
      </c>
      <c r="O14" s="7">
        <f t="shared" ref="O14:O16" si="14">$F$2/(2*SIN(RADIANS(INT(DEGREES(2*ASIN($F$2/(2*L14)))*2)/2)/2))</f>
        <v>114.60064978748562</v>
      </c>
      <c r="P14" s="7">
        <f t="shared" ref="P14" si="15">O14*TAN((ABS(RADIANS((MOD(DEGREES(ATAN2(C16-C14, D16-D14)) - DEGREES(ATAN2(C14-C12, D14-D12)) + 180, 360) - 180))))/2)</f>
        <v>391.28418514142305</v>
      </c>
      <c r="Q14" s="7">
        <f t="shared" ref="Q14" si="16">($F$2*ABS(MOD(DEGREES(ATAN2(C16-C14, D16-D14)) - DEGREES(ATAN2(C14-C12, D14-D12)) + 180, 360) - 180))/(INT(DEGREES(2*ASIN($F$2/(2*L14)))*2)/2)</f>
        <v>294.70226884513136</v>
      </c>
      <c r="R14" s="14"/>
      <c r="S14" s="7"/>
    </row>
    <row r="15" spans="2:19" x14ac:dyDescent="0.25">
      <c r="B15" s="4"/>
      <c r="C15" s="2"/>
      <c r="D15" s="2"/>
      <c r="E15" s="2"/>
      <c r="F15" s="19">
        <f t="shared" ref="F15" si="17">(ABS(E14-E16)/G15)</f>
        <v>0.29900317338174925</v>
      </c>
      <c r="G15" s="7">
        <f t="shared" ref="G15" si="18">((C14-C16)^2+(D14-D16)^2)^0.5</f>
        <v>642.74535225294233</v>
      </c>
      <c r="H15" s="7" t="str">
        <f t="shared" ref="H15" si="19">TEXT(MOD(DEGREES(ATAN2(C16-C14, D16-D14 )), 360)/24,"[h]° mm' ss\""")</f>
        <v>159° 16' 37"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2:19" x14ac:dyDescent="0.25">
      <c r="B16" s="5" t="s">
        <v>64</v>
      </c>
      <c r="C16" s="7">
        <v>1189827.0319999999</v>
      </c>
      <c r="D16" s="7">
        <v>837754.27870000002</v>
      </c>
      <c r="E16" s="7">
        <v>1744.1829</v>
      </c>
      <c r="F16" s="2"/>
      <c r="G16" s="2"/>
      <c r="H16" s="2"/>
      <c r="I16" s="7" t="str">
        <f>TEXT(ABS(MOD(DEGREES(ATAN2(C18-C16, D18-D16)) - DEGREES(ATAN2(C16-C14, D16-D14)) + 180, 360) - 180)/24, "[h]° mm' ss\""")</f>
        <v>24° 18' 19"</v>
      </c>
      <c r="J16" s="7" t="str">
        <f t="shared" ref="J16" si="20">IF( ((C16-C14)*(D18-D16) - (D16-D14)*(C18-C16)) &gt; 0, "Derecha", "Izquierda")</f>
        <v>Derecha</v>
      </c>
      <c r="K16" s="7">
        <v>60</v>
      </c>
      <c r="L16" s="7">
        <v>113</v>
      </c>
      <c r="M16" s="7" t="str">
        <f t="shared" ref="M16" si="21">TEXT(DEGREES(2*ASIN($F$2/(2*L16)))/24, "[h]° mm' ss\""")</f>
        <v>2° 32' 08"</v>
      </c>
      <c r="N16" s="7" t="str">
        <f t="shared" ref="N16" si="22">TEXT( (INT(DEGREES(2*ASIN($F$2/(2*L16)))*2)/2) /24, "[h]° mm' ss\""")</f>
        <v>2° 30' 00"</v>
      </c>
      <c r="O16" s="7">
        <f t="shared" ref="O16" si="23">$F$2/(2*SIN(RADIANS(INT(DEGREES(2*ASIN($F$2/(2*L16)))*2)/2)/2))</f>
        <v>114.60064978748562</v>
      </c>
      <c r="P16" s="7">
        <f t="shared" ref="P16" si="24">O16*TAN((ABS(RADIANS((MOD(DEGREES(ATAN2(C18-C16, D18-D16)) - DEGREES(ATAN2(C16-C14, D16-D14)) + 180, 360) - 180))))/2)</f>
        <v>24.678323742737106</v>
      </c>
      <c r="Q16" s="7">
        <f t="shared" ref="Q16" si="25">($F$2*ABS(MOD(DEGREES(ATAN2(C18-C16, D18-D16)) - DEGREES(ATAN2(C16-C14, D16-D14)) + 180, 360) - 180))/(INT(DEGREES(2*ASIN($F$2/(2*L16)))*2)/2)</f>
        <v>48.610415042551722</v>
      </c>
      <c r="R16" s="14"/>
      <c r="S16" s="14"/>
    </row>
    <row r="17" spans="2:19" x14ac:dyDescent="0.25">
      <c r="B17" s="4"/>
      <c r="C17" s="2"/>
      <c r="D17" s="2"/>
      <c r="E17" s="2"/>
      <c r="F17" s="19">
        <f t="shared" ref="F17" si="26">(ABS(E16-E18)/G17)</f>
        <v>0.13030247731119496</v>
      </c>
      <c r="G17" s="7">
        <f t="shared" ref="G17" si="27">((C16-C18)^2+(D16-D18)^2)^0.5</f>
        <v>492.68364903515572</v>
      </c>
      <c r="H17" s="7" t="str">
        <f t="shared" ref="H17" si="28">TEXT(MOD(DEGREES(ATAN2(C18-C16, D18-D16 )), 360)/24,"[h]° mm' ss\""")</f>
        <v>183° 34' 56"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2:19" x14ac:dyDescent="0.25">
      <c r="B18" s="5" t="s">
        <v>23</v>
      </c>
      <c r="C18" s="7">
        <v>1189335.311</v>
      </c>
      <c r="D18" s="7">
        <v>837723.495</v>
      </c>
      <c r="E18" s="7">
        <v>1679.9849999999999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15"/>
      <c r="S18" s="16"/>
    </row>
    <row r="19" spans="2:19" x14ac:dyDescent="0.25">
      <c r="B19" s="5" t="s">
        <v>24</v>
      </c>
      <c r="C19" s="7"/>
      <c r="D19" s="7"/>
      <c r="E19" s="7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7"/>
      <c r="S19" s="7"/>
    </row>
  </sheetData>
  <mergeCells count="14">
    <mergeCell ref="B4:B5"/>
    <mergeCell ref="R4:S4"/>
    <mergeCell ref="R6:S6"/>
    <mergeCell ref="E4:E5"/>
    <mergeCell ref="I4:J4"/>
    <mergeCell ref="F4:F5"/>
    <mergeCell ref="C4:D4"/>
    <mergeCell ref="G4:G5"/>
    <mergeCell ref="H4:H5"/>
    <mergeCell ref="M4:M5"/>
    <mergeCell ref="Q4:Q5"/>
    <mergeCell ref="L4:L5"/>
    <mergeCell ref="N4:N5"/>
    <mergeCell ref="P4:P5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V14"/>
  <sheetViews>
    <sheetView zoomScale="115" zoomScaleNormal="115" workbookViewId="0">
      <selection activeCell="R15" sqref="R15"/>
    </sheetView>
  </sheetViews>
  <sheetFormatPr baseColWidth="10" defaultColWidth="11.42578125" defaultRowHeight="15" x14ac:dyDescent="0.25"/>
  <cols>
    <col min="1" max="1" width="5.7109375" customWidth="1"/>
    <col min="3" max="3" width="14.28515625" bestFit="1" customWidth="1"/>
    <col min="4" max="4" width="14.28515625" customWidth="1"/>
  </cols>
  <sheetData>
    <row r="2" spans="2:22" x14ac:dyDescent="0.25">
      <c r="B2" s="25" t="s">
        <v>2</v>
      </c>
      <c r="C2" s="24" t="s">
        <v>25</v>
      </c>
      <c r="D2" s="24" t="s">
        <v>26</v>
      </c>
      <c r="E2" s="24" t="s">
        <v>13</v>
      </c>
      <c r="F2" s="22" t="s">
        <v>7</v>
      </c>
      <c r="G2" s="24" t="s">
        <v>27</v>
      </c>
      <c r="H2" s="24" t="s">
        <v>28</v>
      </c>
      <c r="I2" s="22" t="s">
        <v>29</v>
      </c>
      <c r="J2" s="24" t="s">
        <v>30</v>
      </c>
      <c r="K2" s="25" t="s">
        <v>31</v>
      </c>
      <c r="L2" s="25"/>
      <c r="M2" s="25"/>
      <c r="N2" s="25"/>
      <c r="O2" s="25" t="s">
        <v>32</v>
      </c>
      <c r="P2" s="25"/>
      <c r="Q2" s="25"/>
      <c r="R2" s="25"/>
      <c r="S2" s="25"/>
      <c r="T2" s="25"/>
      <c r="U2" s="25"/>
      <c r="V2" s="25"/>
    </row>
    <row r="3" spans="2:22" x14ac:dyDescent="0.25">
      <c r="B3" s="25"/>
      <c r="C3" s="24"/>
      <c r="D3" s="24"/>
      <c r="E3" s="25"/>
      <c r="F3" s="23"/>
      <c r="G3" s="25"/>
      <c r="H3" s="25"/>
      <c r="I3" s="23"/>
      <c r="J3" s="25"/>
      <c r="K3" s="12" t="s">
        <v>33</v>
      </c>
      <c r="L3" s="12" t="s">
        <v>34</v>
      </c>
      <c r="M3" s="12" t="s">
        <v>35</v>
      </c>
      <c r="N3" s="12" t="s">
        <v>36</v>
      </c>
      <c r="O3" s="12" t="s">
        <v>19</v>
      </c>
      <c r="P3" s="12" t="s">
        <v>37</v>
      </c>
      <c r="Q3" s="12" t="s">
        <v>37</v>
      </c>
      <c r="R3" s="12" t="s">
        <v>20</v>
      </c>
      <c r="S3" s="12" t="s">
        <v>36</v>
      </c>
      <c r="T3" s="12" t="s">
        <v>35</v>
      </c>
      <c r="U3" s="12" t="s">
        <v>34</v>
      </c>
      <c r="V3" s="12" t="s">
        <v>38</v>
      </c>
    </row>
    <row r="4" spans="2:22" x14ac:dyDescent="0.25">
      <c r="B4" s="5" t="s">
        <v>21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6"/>
      <c r="P4" s="6"/>
      <c r="Q4" s="6"/>
      <c r="R4" s="6"/>
      <c r="S4" s="3"/>
      <c r="T4" s="3"/>
      <c r="U4" s="3"/>
      <c r="V4" s="3"/>
    </row>
    <row r="5" spans="2:22" x14ac:dyDescent="0.25">
      <c r="B5" s="10"/>
      <c r="C5" s="6"/>
      <c r="D5" s="6"/>
      <c r="E5" s="3"/>
      <c r="F5" s="3"/>
      <c r="G5" s="3"/>
      <c r="H5" s="3"/>
      <c r="I5" s="3"/>
      <c r="J5" s="6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2:22" x14ac:dyDescent="0.25">
      <c r="B6" s="5" t="s">
        <v>22</v>
      </c>
      <c r="C6" s="3"/>
      <c r="D6" s="3"/>
      <c r="E6" s="6"/>
      <c r="F6" s="6"/>
      <c r="G6" s="6"/>
      <c r="H6" s="6"/>
      <c r="I6" s="6"/>
      <c r="J6" s="3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2:22" x14ac:dyDescent="0.25">
      <c r="B7" s="10"/>
      <c r="C7" s="6"/>
      <c r="D7" s="6"/>
      <c r="E7" s="3"/>
      <c r="F7" s="3"/>
      <c r="G7" s="3"/>
      <c r="H7" s="3"/>
      <c r="I7" s="3"/>
      <c r="J7" s="6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2:22" x14ac:dyDescent="0.25">
      <c r="B8" s="5" t="s">
        <v>22</v>
      </c>
      <c r="C8" s="3"/>
      <c r="D8" s="3"/>
      <c r="E8" s="6"/>
      <c r="F8" s="6"/>
      <c r="G8" s="6"/>
      <c r="H8" s="6"/>
      <c r="I8" s="6"/>
      <c r="J8" s="3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spans="2:22" x14ac:dyDescent="0.25">
      <c r="B9" s="10"/>
      <c r="C9" s="6"/>
      <c r="D9" s="6"/>
      <c r="E9" s="3"/>
      <c r="F9" s="3"/>
      <c r="G9" s="3"/>
      <c r="H9" s="3"/>
      <c r="I9" s="3"/>
      <c r="J9" s="6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2:22" x14ac:dyDescent="0.25">
      <c r="B10" s="5" t="s">
        <v>23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6"/>
      <c r="P10" s="6"/>
      <c r="Q10" s="6"/>
      <c r="R10" s="6"/>
      <c r="S10" s="3"/>
      <c r="T10" s="3"/>
      <c r="U10" s="3"/>
      <c r="V10" s="3"/>
    </row>
    <row r="11" spans="2:22" x14ac:dyDescent="0.25">
      <c r="B11" s="11"/>
    </row>
    <row r="12" spans="2:22" x14ac:dyDescent="0.25">
      <c r="B12" s="11"/>
    </row>
    <row r="13" spans="2:22" x14ac:dyDescent="0.25">
      <c r="B13" s="11"/>
    </row>
    <row r="14" spans="2:22" x14ac:dyDescent="0.25">
      <c r="B14" s="11"/>
    </row>
  </sheetData>
  <mergeCells count="12">
    <mergeCell ref="S2:V2"/>
    <mergeCell ref="O2:R2"/>
    <mergeCell ref="G2:G3"/>
    <mergeCell ref="H2:H3"/>
    <mergeCell ref="J2:J3"/>
    <mergeCell ref="K2:N2"/>
    <mergeCell ref="B2:B3"/>
    <mergeCell ref="C2:C3"/>
    <mergeCell ref="E2:E3"/>
    <mergeCell ref="D2:D3"/>
    <mergeCell ref="I2:I3"/>
    <mergeCell ref="F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X11"/>
  <sheetViews>
    <sheetView topLeftCell="G1" workbookViewId="0">
      <selection activeCell="M32" sqref="M32"/>
    </sheetView>
  </sheetViews>
  <sheetFormatPr baseColWidth="10" defaultColWidth="11.42578125" defaultRowHeight="15" x14ac:dyDescent="0.25"/>
  <cols>
    <col min="1" max="1" width="5.7109375" style="1" customWidth="1"/>
    <col min="2" max="2" width="10.5703125" style="1" bestFit="1" customWidth="1"/>
    <col min="3" max="3" width="10.85546875" style="1" bestFit="1" customWidth="1"/>
    <col min="4" max="7" width="10.5703125" style="1" customWidth="1"/>
    <col min="8" max="16" width="11.42578125" style="1"/>
    <col min="17" max="17" width="13.140625" style="1" bestFit="1" customWidth="1"/>
    <col min="18" max="16384" width="11.42578125" style="1"/>
  </cols>
  <sheetData>
    <row r="2" spans="2:24" ht="15" customHeight="1" x14ac:dyDescent="0.25">
      <c r="B2" s="25" t="s">
        <v>39</v>
      </c>
      <c r="C2" s="24" t="s">
        <v>4</v>
      </c>
      <c r="D2" s="24" t="s">
        <v>40</v>
      </c>
      <c r="E2" s="22" t="s">
        <v>41</v>
      </c>
      <c r="F2" s="22" t="s">
        <v>42</v>
      </c>
      <c r="G2" s="22" t="s">
        <v>43</v>
      </c>
      <c r="H2" s="25" t="s">
        <v>44</v>
      </c>
      <c r="I2" s="22" t="s">
        <v>45</v>
      </c>
      <c r="J2" s="24" t="s">
        <v>46</v>
      </c>
      <c r="K2" s="24" t="s">
        <v>47</v>
      </c>
      <c r="L2" s="24" t="s">
        <v>48</v>
      </c>
      <c r="M2" s="24" t="s">
        <v>49</v>
      </c>
      <c r="N2" s="24" t="s">
        <v>50</v>
      </c>
      <c r="O2" s="24" t="s">
        <v>51</v>
      </c>
      <c r="P2" s="24" t="s">
        <v>52</v>
      </c>
      <c r="Q2" s="24" t="s">
        <v>53</v>
      </c>
      <c r="R2" s="24"/>
      <c r="S2" s="25" t="s">
        <v>14</v>
      </c>
      <c r="T2" s="25"/>
      <c r="U2" s="25"/>
      <c r="V2" s="25" t="s">
        <v>54</v>
      </c>
      <c r="W2" s="25"/>
      <c r="X2" s="25"/>
    </row>
    <row r="3" spans="2:24" x14ac:dyDescent="0.25">
      <c r="B3" s="25"/>
      <c r="C3" s="25"/>
      <c r="D3" s="25"/>
      <c r="E3" s="23"/>
      <c r="F3" s="23"/>
      <c r="G3" s="23"/>
      <c r="H3" s="25"/>
      <c r="I3" s="23"/>
      <c r="J3" s="25"/>
      <c r="K3" s="25"/>
      <c r="L3" s="25"/>
      <c r="M3" s="25"/>
      <c r="N3" s="25"/>
      <c r="O3" s="25"/>
      <c r="P3" s="25"/>
      <c r="Q3" s="12" t="s">
        <v>55</v>
      </c>
      <c r="R3" s="12" t="s">
        <v>56</v>
      </c>
      <c r="S3" s="12" t="s">
        <v>57</v>
      </c>
      <c r="T3" s="12" t="s">
        <v>44</v>
      </c>
      <c r="U3" s="12" t="s">
        <v>58</v>
      </c>
      <c r="V3" s="12" t="s">
        <v>57</v>
      </c>
      <c r="W3" s="12" t="s">
        <v>44</v>
      </c>
      <c r="X3" s="12" t="s">
        <v>58</v>
      </c>
    </row>
    <row r="4" spans="2:24" x14ac:dyDescent="0.25">
      <c r="B4" s="2"/>
      <c r="C4" s="4"/>
      <c r="D4" s="4"/>
      <c r="E4" s="4"/>
      <c r="F4" s="4"/>
      <c r="G4" s="4"/>
      <c r="H4" s="9" t="s">
        <v>21</v>
      </c>
      <c r="I4" s="4"/>
      <c r="J4" s="4"/>
      <c r="K4" s="4"/>
      <c r="L4" s="4"/>
      <c r="M4" s="4"/>
      <c r="N4" s="4"/>
      <c r="O4" s="4"/>
      <c r="P4" s="4"/>
      <c r="Q4" s="4"/>
      <c r="R4" s="4"/>
      <c r="S4" s="32"/>
      <c r="T4" s="32"/>
      <c r="U4" s="32"/>
      <c r="V4" s="32"/>
      <c r="W4" s="32"/>
      <c r="X4" s="32"/>
    </row>
    <row r="5" spans="2:24" x14ac:dyDescent="0.25">
      <c r="B5" s="5">
        <v>1</v>
      </c>
      <c r="C5" s="7"/>
      <c r="D5" s="7"/>
      <c r="E5" s="7"/>
      <c r="F5" s="7"/>
      <c r="G5" s="7"/>
      <c r="H5" s="4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2:24" x14ac:dyDescent="0.25">
      <c r="B6" s="4"/>
      <c r="C6" s="2"/>
      <c r="D6" s="2"/>
      <c r="E6" s="2"/>
      <c r="F6" s="2"/>
      <c r="G6" s="2"/>
      <c r="H6" s="5" t="s">
        <v>44</v>
      </c>
      <c r="I6" s="7"/>
      <c r="J6" s="7"/>
      <c r="K6" s="7"/>
      <c r="L6" s="7"/>
      <c r="M6" s="7"/>
      <c r="N6" s="7"/>
      <c r="O6" s="7"/>
      <c r="P6" s="7"/>
      <c r="Q6" s="7"/>
      <c r="R6" s="7"/>
      <c r="S6" s="8"/>
      <c r="T6" s="8"/>
      <c r="U6" s="8"/>
      <c r="V6" s="8"/>
      <c r="W6" s="8"/>
      <c r="X6" s="8"/>
    </row>
    <row r="7" spans="2:24" x14ac:dyDescent="0.25">
      <c r="B7" s="5">
        <v>2</v>
      </c>
      <c r="C7" s="7"/>
      <c r="D7" s="7"/>
      <c r="E7" s="7"/>
      <c r="F7" s="7"/>
      <c r="G7" s="7"/>
      <c r="H7" s="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2:24" x14ac:dyDescent="0.25">
      <c r="B8" s="4"/>
      <c r="C8" s="2"/>
      <c r="D8" s="2"/>
      <c r="E8" s="2"/>
      <c r="F8" s="2"/>
      <c r="G8" s="2"/>
      <c r="H8" s="5" t="s">
        <v>44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2:24" x14ac:dyDescent="0.25">
      <c r="B9" s="5">
        <v>3</v>
      </c>
      <c r="C9" s="7"/>
      <c r="D9" s="7"/>
      <c r="E9" s="7"/>
      <c r="F9" s="7"/>
      <c r="G9" s="7"/>
      <c r="H9" s="4"/>
      <c r="I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2:24" x14ac:dyDescent="0.25">
      <c r="B10" s="2"/>
      <c r="C10" s="2"/>
      <c r="D10" s="2"/>
      <c r="E10" s="2"/>
      <c r="F10" s="2"/>
      <c r="G10" s="2"/>
      <c r="H10" s="9" t="s">
        <v>23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32"/>
      <c r="T10" s="32"/>
      <c r="U10" s="32"/>
      <c r="V10" s="32"/>
      <c r="W10" s="32"/>
      <c r="X10" s="32"/>
    </row>
    <row r="11" spans="2:24" x14ac:dyDescent="0.25">
      <c r="B11" s="2"/>
      <c r="C11" s="2"/>
      <c r="D11" s="2"/>
      <c r="E11" s="2"/>
      <c r="F11" s="2"/>
      <c r="G11" s="2"/>
      <c r="H11" s="9" t="s">
        <v>24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32"/>
      <c r="T11" s="32"/>
      <c r="U11" s="32"/>
      <c r="V11" s="32"/>
      <c r="W11" s="32"/>
      <c r="X11" s="32"/>
    </row>
  </sheetData>
  <mergeCells count="24">
    <mergeCell ref="B2:B3"/>
    <mergeCell ref="N2:N3"/>
    <mergeCell ref="O2:O3"/>
    <mergeCell ref="Q2:R2"/>
    <mergeCell ref="P2:P3"/>
    <mergeCell ref="H2:H3"/>
    <mergeCell ref="J2:J3"/>
    <mergeCell ref="M2:M3"/>
    <mergeCell ref="K2:K3"/>
    <mergeCell ref="I2:I3"/>
    <mergeCell ref="C2:C3"/>
    <mergeCell ref="D2:D3"/>
    <mergeCell ref="L2:L3"/>
    <mergeCell ref="F2:F3"/>
    <mergeCell ref="G2:G3"/>
    <mergeCell ref="E2:E3"/>
    <mergeCell ref="V2:X2"/>
    <mergeCell ref="S2:U2"/>
    <mergeCell ref="V4:X4"/>
    <mergeCell ref="V10:X10"/>
    <mergeCell ref="S11:U11"/>
    <mergeCell ref="V11:X11"/>
    <mergeCell ref="S4:U4"/>
    <mergeCell ref="S10:U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AH</vt:lpstr>
      <vt:lpstr>PERALTE</vt:lpstr>
      <vt:lpstr>AV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 de Windows</dc:creator>
  <cp:keywords/>
  <dc:description/>
  <cp:lastModifiedBy>ELKIN DAVID SANCHEZ VELEZ</cp:lastModifiedBy>
  <cp:revision/>
  <dcterms:created xsi:type="dcterms:W3CDTF">2019-04-30T15:56:14Z</dcterms:created>
  <dcterms:modified xsi:type="dcterms:W3CDTF">2025-10-06T01:17:02Z</dcterms:modified>
  <cp:category/>
  <cp:contentStatus/>
</cp:coreProperties>
</file>