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\"/>
    </mc:Choice>
  </mc:AlternateContent>
  <xr:revisionPtr revIDLastSave="0" documentId="8_{EE4DDA06-E1FF-4C1D-A976-851D182F17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2" i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l="1"/>
  <c r="R8" i="1"/>
  <c r="S8" i="1" s="1"/>
  <c r="R10" i="1" s="1"/>
  <c r="R12" i="1" s="1"/>
  <c r="S12" i="1" s="1"/>
  <c r="R14" i="1" s="1"/>
  <c r="S14" i="1" s="1"/>
  <c r="R16" i="1" s="1"/>
  <c r="S16" i="1" s="1"/>
</calcChain>
</file>

<file path=xl/sharedStrings.xml><?xml version="1.0" encoding="utf-8"?>
<sst xmlns="http://schemas.openxmlformats.org/spreadsheetml/2006/main" count="99" uniqueCount="69">
  <si>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</si>
  <si>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</si>
  <si>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</si>
  <si>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</si>
  <si>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</si>
  <si>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</si>
  <si>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</si>
  <si>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</si>
  <si>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</si>
  <si>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</si>
  <si>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</si>
  <si>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</si>
  <si>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</si>
  <si>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</si>
  <si>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</si>
  <si>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</si>
  <si>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</si>
  <si>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</si>
  <si>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</si>
  <si>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</si>
  <si>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</si>
  <si>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</si>
  <si>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</si>
  <si>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</si>
  <si>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</si>
  <si>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</si>
  <si>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</si>
  <si>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</si>
  <si>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</si>
  <si>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</si>
  <si>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</si>
  <si>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</si>
  <si>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</si>
  <si>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</si>
  <si>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</si>
  <si>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</si>
  <si>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</si>
  <si>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</si>
  <si>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</si>
  <si>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</si>
  <si>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</si>
  <si>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</si>
  <si>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</si>
  <si>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</si>
  <si>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</si>
  <si>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</si>
  <si>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</si>
  <si>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</si>
  <si>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</si>
  <si>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</si>
  <si>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</si>
  <si>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</si>
  <si>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</si>
  <si>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</si>
  <si>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</si>
  <si>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</si>
  <si>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</si>
  <si>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</si>
  <si>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</si>
  <si>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</si>
  <si>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</si>
  <si>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</si>
  <si>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</si>
  <si>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</si>
  <si>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</si>
  <si>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</si>
  <si>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</si>
  <si>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</si>
  <si>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K0+100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</si>
</sst>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tabSelected="1" zoomScale="70" zoomScaleNormal="70" workbookViewId="0">
      <selection activeCell="S21" sqref="S21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18" t="s">
        <v>2</v>
      </c>
      <c r="C4" s="27" t="s">
        <v>3</v>
      </c>
      <c r="D4" s="28"/>
      <c r="E4" s="21" t="s">
        <v>59</v>
      </c>
      <c r="F4" s="25" t="s">
        <v>4</v>
      </c>
      <c r="G4" s="25" t="s">
        <v>65</v>
      </c>
      <c r="H4" s="25" t="s">
        <v>5</v>
      </c>
      <c r="I4" s="23" t="s">
        <v>6</v>
      </c>
      <c r="J4" s="24"/>
      <c r="K4" s="15" t="s">
        <v>7</v>
      </c>
      <c r="L4" s="25" t="s">
        <v>8</v>
      </c>
      <c r="M4" s="25" t="s">
        <v>9</v>
      </c>
      <c r="N4" s="29" t="s">
        <v>10</v>
      </c>
      <c r="O4" s="13" t="s">
        <v>11</v>
      </c>
      <c r="P4" s="29" t="s">
        <v>12</v>
      </c>
      <c r="Q4" s="29" t="s">
        <v>13</v>
      </c>
      <c r="R4" s="18" t="s">
        <v>14</v>
      </c>
      <c r="S4" s="18"/>
    </row>
    <row r="5" spans="2:19" ht="27" customHeight="1" x14ac:dyDescent="0.25">
      <c r="B5" s="18"/>
      <c r="C5" s="12" t="s">
        <v>15</v>
      </c>
      <c r="D5" s="12" t="s">
        <v>16</v>
      </c>
      <c r="E5" s="22"/>
      <c r="F5" s="26"/>
      <c r="G5" s="26"/>
      <c r="H5" s="26"/>
      <c r="I5" s="12" t="s">
        <v>17</v>
      </c>
      <c r="J5" s="12" t="s">
        <v>18</v>
      </c>
      <c r="K5" s="16"/>
      <c r="L5" s="26"/>
      <c r="M5" s="26"/>
      <c r="N5" s="18"/>
      <c r="O5" s="12"/>
      <c r="P5" s="18"/>
      <c r="Q5" s="18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9" t="s">
        <v>68</v>
      </c>
      <c r="S6" s="20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31">
        <f>S8+G9-P8</f>
        <v>639.03062838276549</v>
      </c>
      <c r="S10" s="32"/>
    </row>
    <row r="11" spans="2:19" x14ac:dyDescent="0.25">
      <c r="B11" s="4"/>
      <c r="C11" s="2"/>
      <c r="D11" s="2"/>
      <c r="E11" s="2"/>
      <c r="F11" s="17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>
        <f>R10+G11-P12</f>
        <v>713.79046937054159</v>
      </c>
      <c r="S12" s="14">
        <f>R12+Q12</f>
        <v>986.8566328458918</v>
      </c>
    </row>
    <row r="13" spans="2:19" x14ac:dyDescent="0.25">
      <c r="B13" s="4"/>
      <c r="C13" s="2"/>
      <c r="D13" s="2"/>
      <c r="E13" s="2"/>
      <c r="F13" s="17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" si="13">TEXT( (INT(DEGREES(2*ASIN($F$2/(2*L14)))*2)/2) /24, "[h]° mm' ss\""")</f>
        <v>2° 30' 00"</v>
      </c>
      <c r="O14" s="7">
        <f t="shared" ref="O14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>
        <f>S12+G13-P12-P14</f>
        <v>1090.1962533518385</v>
      </c>
      <c r="S14" s="14">
        <f>R14+Q14</f>
        <v>1384.8985221969699</v>
      </c>
    </row>
    <row r="15" spans="2:19" x14ac:dyDescent="0.25">
      <c r="B15" s="4"/>
      <c r="C15" s="2"/>
      <c r="D15" s="2"/>
      <c r="E15" s="2"/>
      <c r="F15" s="17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>
        <f>S14+G15-P14-P16</f>
        <v>1611.6813655657522</v>
      </c>
      <c r="S16" s="14">
        <f>R16+Q16</f>
        <v>1660.291780608304</v>
      </c>
    </row>
    <row r="17" spans="2:19" x14ac:dyDescent="0.25">
      <c r="B17" s="4"/>
      <c r="C17" s="2"/>
      <c r="D17" s="2"/>
      <c r="E17" s="2"/>
      <c r="F17" s="17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1">
        <f>S16+G17-P16</f>
        <v>2128.2971059007227</v>
      </c>
      <c r="S18" s="32"/>
    </row>
    <row r="19" spans="2:19" x14ac:dyDescent="0.25">
      <c r="B19" s="5" t="s">
        <v>24</v>
      </c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/>
      <c r="S19" s="7"/>
    </row>
  </sheetData>
  <mergeCells count="16">
    <mergeCell ref="R10:S10"/>
    <mergeCell ref="R18:S18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18" t="s">
        <v>2</v>
      </c>
      <c r="C2" s="29" t="s">
        <v>25</v>
      </c>
      <c r="D2" s="29" t="s">
        <v>26</v>
      </c>
      <c r="E2" s="29" t="s">
        <v>13</v>
      </c>
      <c r="F2" s="25" t="s">
        <v>7</v>
      </c>
      <c r="G2" s="29" t="s">
        <v>27</v>
      </c>
      <c r="H2" s="29" t="s">
        <v>28</v>
      </c>
      <c r="I2" s="25" t="s">
        <v>29</v>
      </c>
      <c r="J2" s="29" t="s">
        <v>30</v>
      </c>
      <c r="K2" s="18" t="s">
        <v>31</v>
      </c>
      <c r="L2" s="18"/>
      <c r="M2" s="18"/>
      <c r="N2" s="18"/>
      <c r="O2" s="18" t="s">
        <v>32</v>
      </c>
      <c r="P2" s="18"/>
      <c r="Q2" s="18"/>
      <c r="R2" s="18"/>
      <c r="S2" s="18"/>
      <c r="T2" s="18"/>
      <c r="U2" s="18"/>
      <c r="V2" s="18"/>
    </row>
    <row r="3" spans="2:22" x14ac:dyDescent="0.25">
      <c r="B3" s="18"/>
      <c r="C3" s="29"/>
      <c r="D3" s="29"/>
      <c r="E3" s="18"/>
      <c r="F3" s="26"/>
      <c r="G3" s="18"/>
      <c r="H3" s="18"/>
      <c r="I3" s="26"/>
      <c r="J3" s="18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18" t="s">
        <v>39</v>
      </c>
      <c r="C2" s="29" t="s">
        <v>4</v>
      </c>
      <c r="D2" s="29" t="s">
        <v>40</v>
      </c>
      <c r="E2" s="25" t="s">
        <v>41</v>
      </c>
      <c r="F2" s="25" t="s">
        <v>42</v>
      </c>
      <c r="G2" s="25" t="s">
        <v>43</v>
      </c>
      <c r="H2" s="18" t="s">
        <v>44</v>
      </c>
      <c r="I2" s="25" t="s">
        <v>45</v>
      </c>
      <c r="J2" s="29" t="s">
        <v>46</v>
      </c>
      <c r="K2" s="29" t="s">
        <v>47</v>
      </c>
      <c r="L2" s="29" t="s">
        <v>48</v>
      </c>
      <c r="M2" s="29" t="s">
        <v>49</v>
      </c>
      <c r="N2" s="29" t="s">
        <v>50</v>
      </c>
      <c r="O2" s="29" t="s">
        <v>51</v>
      </c>
      <c r="P2" s="29" t="s">
        <v>52</v>
      </c>
      <c r="Q2" s="29" t="s">
        <v>53</v>
      </c>
      <c r="R2" s="29"/>
      <c r="S2" s="18" t="s">
        <v>14</v>
      </c>
      <c r="T2" s="18"/>
      <c r="U2" s="18"/>
      <c r="V2" s="18" t="s">
        <v>54</v>
      </c>
      <c r="W2" s="18"/>
      <c r="X2" s="18"/>
    </row>
    <row r="3" spans="2:24" x14ac:dyDescent="0.25">
      <c r="B3" s="18"/>
      <c r="C3" s="18"/>
      <c r="D3" s="18"/>
      <c r="E3" s="26"/>
      <c r="F3" s="26"/>
      <c r="G3" s="26"/>
      <c r="H3" s="18"/>
      <c r="I3" s="26"/>
      <c r="J3" s="18"/>
      <c r="K3" s="18"/>
      <c r="L3" s="18"/>
      <c r="M3" s="18"/>
      <c r="N3" s="18"/>
      <c r="O3" s="18"/>
      <c r="P3" s="18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0"/>
      <c r="T4" s="30"/>
      <c r="U4" s="30"/>
      <c r="V4" s="30"/>
      <c r="W4" s="30"/>
      <c r="X4" s="30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0"/>
      <c r="T10" s="30"/>
      <c r="U10" s="30"/>
      <c r="V10" s="30"/>
      <c r="W10" s="30"/>
      <c r="X10" s="30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0"/>
      <c r="T11" s="30"/>
      <c r="U11" s="30"/>
      <c r="V11" s="30"/>
      <c r="W11" s="30"/>
      <c r="X11" s="30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2025-10-06T01:38:19Z</dcterms:modified>
  <cp:category/>
  <cp:contentStatus/>
</cp:coreProperties>
</file>