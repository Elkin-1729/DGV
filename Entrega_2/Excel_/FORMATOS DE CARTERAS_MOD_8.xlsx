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AE068F87-937E-4B3B-A864-23FC24BC90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4" i="1"/>
  <c r="Q16" i="1"/>
  <c r="Q8" i="1"/>
  <c r="N12" i="1"/>
  <c r="O12" i="1" l="1"/>
  <c r="P12" i="1" s="1"/>
  <c r="O14" i="1"/>
  <c r="P14" i="1" s="1"/>
  <c r="O16" i="1"/>
  <c r="P16" i="1" s="1"/>
  <c r="O8" i="1"/>
  <c r="P8" i="1" s="1"/>
  <c r="N14" i="1"/>
  <c r="N16" i="1"/>
  <c r="N8" i="1"/>
  <c r="M12" i="1"/>
  <c r="M14" i="1"/>
  <c r="M16" i="1"/>
  <c r="M8" i="1"/>
  <c r="I16" i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s="1"/>
</calcChain>
</file>

<file path=xl/sharedStrings.xml><?xml version="1.0" encoding="utf-8"?>
<sst xmlns="http://schemas.openxmlformats.org/spreadsheetml/2006/main" count="102" uniqueCount="72">
  <si>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</si>
  <si>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</si>
  <si>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</si>
  <si>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</si>
  <si>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</si>
  <si>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</si>
  <si>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</si>
  <si>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</si>
  <si>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</si>
  <si>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</si>
  <si>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</si>
  <si>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</si>
  <si>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</si>
  <si>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</si>
  <si>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</si>
  <si>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</si>
  <si>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</si>
  <si>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</si>
  <si>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</si>
  <si>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</si>
  <si>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</si>
  <si>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</si>
  <si>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</si>
  <si>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</si>
  <si>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</si>
  <si>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</si>
  <si>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</si>
  <si>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</si>
  <si>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</si>
  <si>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</si>
  <si>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</si>
  <si>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</si>
  <si>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</si>
  <si>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</si>
  <si>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</si>
  <si>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</si>
  <si>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</si>
  <si>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</si>
  <si>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</si>
  <si>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</si>
  <si>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</si>
  <si>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</si>
  <si>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</si>
  <si>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</si>
  <si>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</si>
  <si>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</si>
  <si>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</si>
  <si>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</si>
  <si>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</si>
  <si>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</si>
  <si>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</si>
  <si>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</si>
  <si>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</si>
  <si>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</si>
  <si>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</si>
  <si>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</si>
  <si>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</si>
  <si>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</si>
  <si>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</si>
  <si>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</si>
  <si>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</si>
  <si>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</si>
  <si>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</si>
  <si>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</si>
  <si>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</si>
  <si>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</si>
  <si>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</si>
  <si>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</si>
  <si>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(ENTERO(GRADOS(2*ASENO($F$2/(2*L8)))*2)/2)</t>
  </si>
  <si>
    <t>G</t>
  </si>
  <si>
    <t>delta</t>
  </si>
  <si>
    <t>ABS(RESIDUO(GRADOS(ATAN2(C10-C8; D10-D8)) - GRADOS(ATAN2(C8-C6; D8-D6)) + 180; 360) - 180)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</si>
</sst>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3"/>
  <sheetViews>
    <sheetView tabSelected="1" zoomScale="70" zoomScaleNormal="70" workbookViewId="0">
      <selection activeCell="Q11" sqref="Q11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4" width="11.42578125" style="1"/>
    <col min="15" max="16" width="11.85546875" style="1" bestFit="1" customWidth="1"/>
    <col min="17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F2" s="2">
        <v>5</v>
      </c>
      <c r="H2" s="12" t="s">
        <v>60</v>
      </c>
      <c r="I2" s="2">
        <v>8</v>
      </c>
      <c r="N2" s="1" t="s">
        <v>69</v>
      </c>
      <c r="O2" s="1" t="s">
        <v>68</v>
      </c>
    </row>
    <row r="3" spans="2:19" x14ac:dyDescent="0.25">
      <c r="N3" s="1" t="s">
        <v>70</v>
      </c>
      <c r="O3" s="1" t="s">
        <v>71</v>
      </c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65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 t="str">
        <f>TEXT(DEGREES(2*ASIN($F$2/(2*L8)))/24, "[h]° mm' ss\""")</f>
        <v>2° 32' 08"</v>
      </c>
      <c r="N8" s="7" t="str">
        <f>TEXT( (INT(DEGREES(2*ASIN($F$2/(2*L8)))*2)/2) /24, "[h]° mm' ss\""")</f>
        <v>2° 30' 00"</v>
      </c>
      <c r="O8" s="7">
        <f>$F$2/(2*SIN(RADIANS(INT(DEGREES(2*ASIN($F$2/(2*L8)))*2)/2)/2))</f>
        <v>114.60064978748562</v>
      </c>
      <c r="P8" s="7">
        <f>O8*TAN((ABS(RADIANS((MOD(DEGREES(ATAN2(C10-C8, D10-D8)) - DEGREES(ATAN2(C8-C6, D8-D6)) + 180, 360) - 180))))/2)</f>
        <v>10.899751307708526</v>
      </c>
      <c r="Q8" s="7">
        <f>($F$2*ABS(MOD(DEGREES(ATAN2(C10-C8, D10-D8)) - DEGREES(ATAN2(C8-C6, D8-D6)) + 180, 360) - 180))/(INT(DEGREES(2*ASIN($F$2/(2*L8)))*2)/2)</f>
        <v>21.732399894362743</v>
      </c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66</v>
      </c>
      <c r="L10" s="7" t="s">
        <v>66</v>
      </c>
      <c r="M10" s="7" t="s">
        <v>66</v>
      </c>
      <c r="N10" s="7" t="s">
        <v>66</v>
      </c>
      <c r="O10" s="7" t="s">
        <v>66</v>
      </c>
      <c r="P10" s="7" t="s">
        <v>66</v>
      </c>
      <c r="Q10" s="7" t="s">
        <v>66</v>
      </c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 t="str">
        <f t="shared" ref="M12" si="4">TEXT(DEGREES(2*ASIN($F$2/(2*L12)))/24, "[h]° mm' ss\""")</f>
        <v>2° 32' 08"</v>
      </c>
      <c r="N12" s="7" t="str">
        <f>TEXT( (INT(DEGREES(2*ASIN($F$2/(2*L12)))*2)/2) /24, "[h]° mm' ss\""")</f>
        <v>2° 30' 00"</v>
      </c>
      <c r="O12" s="7">
        <f t="shared" ref="O12:O16" si="5">$F$2/(2*SIN(RADIANS(INT(DEGREES(2*ASIN($F$2/(2*L12)))*2)/2)/2))</f>
        <v>114.60064978748562</v>
      </c>
      <c r="P12" s="7">
        <f t="shared" ref="P12" si="6">O12*TAN((ABS(RADIANS((MOD(DEGREES(ATAN2(C14-C12, D14-D12)) - DEGREES(ATAN2(C12-C10, D12-D10)) + 180, 360) - 180))))/2)</f>
        <v>287.4899134179521</v>
      </c>
      <c r="Q12" s="7">
        <f t="shared" ref="Q12" si="7">($F$2*ABS(MOD(DEGREES(ATAN2(C14-C12, D14-D12)) - DEGREES(ATAN2(C12-C10, D12-D10)) + 180, 360) - 180))/(INT(DEGREES(2*ASIN($F$2/(2*L12)))*2)/2)</f>
        <v>273.06616347535021</v>
      </c>
      <c r="R12" s="14"/>
      <c r="S12" s="14"/>
    </row>
    <row r="13" spans="2:19" x14ac:dyDescent="0.25">
      <c r="B13" s="4"/>
      <c r="C13" s="2"/>
      <c r="D13" s="2"/>
      <c r="E13" s="2"/>
      <c r="F13" s="19">
        <f t="shared" ref="F13" si="8">(ABS(E12-E14)/G13)</f>
        <v>0.30017859842756672</v>
      </c>
      <c r="G13" s="7">
        <f t="shared" ref="G13" si="9">((C12-C14)^2+(D12-D14)^2)^0.5</f>
        <v>782.11371906532167</v>
      </c>
      <c r="H13" s="7" t="str">
        <f t="shared" ref="H13" si="10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11">IF( ((C14-C12)*(D16-D14) - (D14-D12)*(C16-C14)) &gt; 0, "Derecha", "Izquierda")</f>
        <v>Izquierda</v>
      </c>
      <c r="K14" s="7">
        <v>60</v>
      </c>
      <c r="L14" s="7">
        <v>113</v>
      </c>
      <c r="M14" s="7" t="str">
        <f t="shared" ref="M14" si="12">TEXT(DEGREES(2*ASIN($F$2/(2*L14)))/24, "[h]° mm' ss\""")</f>
        <v>2° 32' 08"</v>
      </c>
      <c r="N14" s="7" t="str">
        <f t="shared" ref="N14:N16" si="13">TEXT( (INT(DEGREES(2*ASIN($F$2/(2*L14)))*2)/2) /24, "[h]° mm' ss\""")</f>
        <v>2° 30' 00"</v>
      </c>
      <c r="O14" s="7">
        <f t="shared" ref="O14:O16" si="14">$F$2/(2*SIN(RADIANS(INT(DEGREES(2*ASIN($F$2/(2*L14)))*2)/2)/2))</f>
        <v>114.60064978748562</v>
      </c>
      <c r="P14" s="7">
        <f t="shared" ref="P14" si="15">O14*TAN((ABS(RADIANS((MOD(DEGREES(ATAN2(C16-C14, D16-D14)) - DEGREES(ATAN2(C14-C12, D14-D12)) + 180, 360) - 180))))/2)</f>
        <v>391.28418514142305</v>
      </c>
      <c r="Q14" s="7">
        <f t="shared" ref="Q14" si="16">($F$2*ABS(MOD(DEGREES(ATAN2(C16-C14, D16-D14)) - DEGREES(ATAN2(C14-C12, D14-D12)) + 180, 360) - 180))/(INT(DEGREES(2*ASIN($F$2/(2*L14)))*2)/2)</f>
        <v>294.70226884513136</v>
      </c>
      <c r="R14" s="14"/>
      <c r="S14" s="7"/>
    </row>
    <row r="15" spans="2:19" x14ac:dyDescent="0.25">
      <c r="B15" s="4"/>
      <c r="C15" s="2"/>
      <c r="D15" s="2"/>
      <c r="E15" s="2"/>
      <c r="F15" s="19">
        <f t="shared" ref="F15" si="17">(ABS(E14-E16)/G15)</f>
        <v>0.29900317338174925</v>
      </c>
      <c r="G15" s="7">
        <f t="shared" ref="G15" si="18">((C14-C16)^2+(D14-D16)^2)^0.5</f>
        <v>642.74535225294233</v>
      </c>
      <c r="H15" s="7" t="str">
        <f t="shared" ref="H15" si="19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20">IF( ((C16-C14)*(D18-D16) - (D16-D14)*(C18-C16)) &gt; 0, "Derecha", "Izquierda")</f>
        <v>Derecha</v>
      </c>
      <c r="K16" s="7">
        <v>60</v>
      </c>
      <c r="L16" s="7">
        <v>113</v>
      </c>
      <c r="M16" s="7" t="str">
        <f t="shared" ref="M16" si="21">TEXT(DEGREES(2*ASIN($F$2/(2*L16)))/24, "[h]° mm' ss\""")</f>
        <v>2° 32' 08"</v>
      </c>
      <c r="N16" s="7" t="str">
        <f t="shared" ref="N16" si="22">TEXT( (INT(DEGREES(2*ASIN($F$2/(2*L16)))*2)/2) /24, "[h]° mm' ss\""")</f>
        <v>2° 30' 00"</v>
      </c>
      <c r="O16" s="7">
        <f t="shared" ref="O16" si="23">$F$2/(2*SIN(RADIANS(INT(DEGREES(2*ASIN($F$2/(2*L16)))*2)/2)/2))</f>
        <v>114.60064978748562</v>
      </c>
      <c r="P16" s="7">
        <f t="shared" ref="P16" si="24">O16*TAN((ABS(RADIANS((MOD(DEGREES(ATAN2(C18-C16, D18-D16)) - DEGREES(ATAN2(C16-C14, D16-D14)) + 180, 360) - 180))))/2)</f>
        <v>24.678323742737106</v>
      </c>
      <c r="Q16" s="7">
        <f t="shared" ref="Q16" si="25">($F$2*ABS(MOD(DEGREES(ATAN2(C18-C16, D18-D16)) - DEGREES(ATAN2(C16-C14, D16-D14)) + 180, 360) - 180))/(INT(DEGREES(2*ASIN($F$2/(2*L16)))*2)/2)</f>
        <v>48.610415042551722</v>
      </c>
      <c r="R16" s="14"/>
      <c r="S16" s="14"/>
    </row>
    <row r="17" spans="2:19" x14ac:dyDescent="0.25">
      <c r="B17" s="4"/>
      <c r="C17" s="2"/>
      <c r="D17" s="2"/>
      <c r="E17" s="2"/>
      <c r="F17" s="19">
        <f t="shared" ref="F17" si="26">(ABS(E16-E18)/G17)</f>
        <v>0.13030247731119496</v>
      </c>
      <c r="G17" s="7">
        <f t="shared" ref="G17" si="27">((C16-C18)^2+(D16-D18)^2)^0.5</f>
        <v>492.68364903515572</v>
      </c>
      <c r="H17" s="7" t="str">
        <f t="shared" ref="H17" si="28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5"/>
      <c r="S18" s="16"/>
    </row>
    <row r="19" spans="2:19" x14ac:dyDescent="0.25">
      <c r="B19" s="5" t="s">
        <v>24</v>
      </c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/>
      <c r="S19" s="7"/>
    </row>
    <row r="23" spans="2:19" x14ac:dyDescent="0.25">
      <c r="P23" s="1">
        <v>114.60064978748601</v>
      </c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2025-10-06T00:47:33Z</dcterms:modified>
  <cp:category/>
  <cp:contentStatus/>
</cp:coreProperties>
</file>