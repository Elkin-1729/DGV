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"/>
    </mc:Choice>
  </mc:AlternateContent>
  <xr:revisionPtr revIDLastSave="0" documentId="8_{9D0B03AE-B853-43C0-8759-A9FFB90C1A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8" i="1"/>
  <c r="I18" i="1"/>
  <c r="I16" i="1"/>
  <c r="I14" i="1"/>
  <c r="I12" i="1"/>
  <c r="I10" i="1"/>
  <c r="J12" i="1"/>
  <c r="J14" i="1"/>
  <c r="J16" i="1"/>
  <c r="J18" i="1"/>
  <c r="J8" i="1"/>
  <c r="H11" i="1"/>
  <c r="H13" i="1"/>
  <c r="H15" i="1"/>
  <c r="H17" i="1"/>
  <c r="H19" i="1"/>
  <c r="H9" i="1"/>
  <c r="F9" i="1"/>
  <c r="F11" i="1"/>
  <c r="F13" i="1"/>
  <c r="F15" i="1"/>
  <c r="F17" i="1"/>
  <c r="F19" i="1"/>
  <c r="F7" i="1"/>
  <c r="G11" i="1"/>
  <c r="G13" i="1"/>
  <c r="G15" i="1"/>
  <c r="G17" i="1"/>
  <c r="G19" i="1"/>
  <c r="G9" i="1"/>
  <c r="G7" i="1"/>
</calcChain>
</file>

<file path=xl/sharedStrings.xml><?xml version="1.0" encoding="utf-8"?>
<sst xmlns="http://schemas.openxmlformats.org/spreadsheetml/2006/main" count="93" uniqueCount="70">
  <si>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</si>
  <si>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</si>
  <si>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</si>
  <si>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</si>
  <si>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</si>
  <si>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</si>
  <si>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</si>
  <si>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</si>
  <si>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</si>
  <si>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</si>
  <si>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</si>
  <si>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</si>
  <si>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</si>
  <si>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</si>
  <si>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</si>
  <si>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</si>
  <si>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</si>
  <si>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</si>
  <si>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</si>
  <si>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</si>
  <si>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</si>
  <si>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</si>
  <si>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</si>
  <si>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</si>
  <si>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</si>
  <si>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</si>
  <si>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</si>
  <si>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</si>
  <si>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</si>
  <si>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</si>
  <si>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</si>
  <si>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</si>
  <si>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</si>
  <si>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</si>
  <si>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</si>
  <si>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</si>
  <si>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</si>
  <si>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</si>
  <si>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</si>
  <si>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</si>
  <si>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</si>
  <si>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</si>
  <si>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</si>
  <si>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</si>
  <si>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</si>
  <si>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</si>
  <si>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</si>
  <si>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</si>
  <si>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</si>
  <si>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</si>
  <si>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</si>
  <si>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</si>
  <si>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</si>
  <si>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</si>
  <si>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</si>
  <si>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</si>
  <si>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</si>
  <si>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</si>
  <si>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</si>
  <si>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</si>
  <si>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</si>
  <si>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</si>
  <si>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</si>
  <si>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</si>
  <si>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</si>
  <si>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PI 5</t>
  </si>
  <si>
    <t>DISTANCIA XY
[m]</t>
  </si>
  <si>
    <t>-</t>
  </si>
  <si>
    <t>P2 (Obligatorio)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</si>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</sst>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1"/>
  <sheetViews>
    <sheetView tabSelected="1" zoomScaleNormal="100" workbookViewId="0">
      <selection activeCell="K9" sqref="K9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12" t="s">
        <v>60</v>
      </c>
      <c r="G2" s="12"/>
      <c r="H2" s="2"/>
    </row>
    <row r="4" spans="2:19" ht="15" customHeight="1" x14ac:dyDescent="0.25">
      <c r="B4" s="25" t="s">
        <v>2</v>
      </c>
      <c r="C4" s="20" t="s">
        <v>3</v>
      </c>
      <c r="D4" s="21"/>
      <c r="E4" s="28" t="s">
        <v>59</v>
      </c>
      <c r="F4" s="22" t="s">
        <v>4</v>
      </c>
      <c r="G4" s="22" t="s">
        <v>66</v>
      </c>
      <c r="H4" s="22" t="s">
        <v>5</v>
      </c>
      <c r="I4" s="30" t="s">
        <v>6</v>
      </c>
      <c r="J4" s="31"/>
      <c r="K4" s="17" t="s">
        <v>7</v>
      </c>
      <c r="L4" s="22" t="s">
        <v>8</v>
      </c>
      <c r="M4" s="22" t="s">
        <v>9</v>
      </c>
      <c r="N4" s="24" t="s">
        <v>10</v>
      </c>
      <c r="O4" s="13" t="s">
        <v>11</v>
      </c>
      <c r="P4" s="24" t="s">
        <v>12</v>
      </c>
      <c r="Q4" s="24" t="s">
        <v>13</v>
      </c>
      <c r="R4" s="25" t="s">
        <v>14</v>
      </c>
      <c r="S4" s="25"/>
    </row>
    <row r="5" spans="2:19" ht="27" customHeight="1" x14ac:dyDescent="0.25">
      <c r="B5" s="25"/>
      <c r="C5" s="12" t="s">
        <v>15</v>
      </c>
      <c r="D5" s="12" t="s">
        <v>16</v>
      </c>
      <c r="E5" s="29"/>
      <c r="F5" s="23"/>
      <c r="G5" s="23"/>
      <c r="H5" s="23"/>
      <c r="I5" s="12" t="s">
        <v>17</v>
      </c>
      <c r="J5" s="12" t="s">
        <v>18</v>
      </c>
      <c r="K5" s="18"/>
      <c r="L5" s="23"/>
      <c r="M5" s="23"/>
      <c r="N5" s="25"/>
      <c r="O5" s="12"/>
      <c r="P5" s="25"/>
      <c r="Q5" s="25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6"/>
      <c r="S6" s="27"/>
    </row>
    <row r="7" spans="2:19" x14ac:dyDescent="0.25">
      <c r="B7" s="4"/>
      <c r="C7" s="2"/>
      <c r="D7" s="2"/>
      <c r="E7" s="2"/>
      <c r="F7" s="19">
        <f>(ABS(E6-E8)/G7)</f>
        <v>9.3512161093502119E-2</v>
      </c>
      <c r="G7" s="7">
        <f>((C6-C8)^2+(D6-D8)^2)^0.5</f>
        <v>383.90087000667722</v>
      </c>
      <c r="H7" s="7" t="str">
        <f>TEXT(MOD(DEGREES(ATAN2(C8-C6, D8-D6 )), 360)/24,"[h]° mm' ss\""")</f>
        <v>161° 14' 09"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1190589.1542</v>
      </c>
      <c r="D8" s="7">
        <v>838165.34259999997</v>
      </c>
      <c r="E8" s="7">
        <v>1745.9657999999999</v>
      </c>
      <c r="F8" s="2"/>
      <c r="G8" s="2"/>
      <c r="H8" s="2"/>
      <c r="I8" s="7" t="str">
        <f>TEXT(ABS(MOD(DEGREES(ATAN2(C10-C8, D10-D8)) - DEGREES(ATAN2(C8-C6, D8-D6)) + 180, 360) - 180)/24, "[h]° mm' ss\""")</f>
        <v>33° 52' 59"</v>
      </c>
      <c r="J8" s="7" t="str">
        <f>IF( ((C8-C6)*(D10-D8) - (D8-D6)*(C10-C8)) &gt; 0, "Derecha", "Izquierda")</f>
        <v>Derecha</v>
      </c>
      <c r="K8" s="7">
        <v>40</v>
      </c>
      <c r="L8" s="7"/>
      <c r="M8" s="7"/>
      <c r="N8" s="7"/>
      <c r="O8" s="7"/>
      <c r="P8" s="7"/>
      <c r="Q8" s="7"/>
      <c r="R8" s="14"/>
      <c r="S8" s="14"/>
    </row>
    <row r="9" spans="2:19" x14ac:dyDescent="0.25">
      <c r="B9" s="4"/>
      <c r="C9" s="2"/>
      <c r="D9" s="2"/>
      <c r="E9" s="2"/>
      <c r="F9" s="19">
        <f t="shared" ref="F9" si="0">(ABS(E8-E10)/G9)</f>
        <v>2.127283272074235E-2</v>
      </c>
      <c r="G9" s="7">
        <f>((C8-C10)^2+(D8-D10)^2)^0.5</f>
        <v>280.44219960338967</v>
      </c>
      <c r="H9" s="7" t="str">
        <f>TEXT(MOD(DEGREES(ATAN2(C10-C8, D10-D8 )), 360)/24,"[h]° mm' ss\""")</f>
        <v>195° 07' 08"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68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67</v>
      </c>
      <c r="K10" s="7" t="s">
        <v>69</v>
      </c>
      <c r="L10" s="7"/>
      <c r="M10" s="7"/>
      <c r="N10" s="7"/>
      <c r="O10" s="7"/>
      <c r="P10" s="7"/>
      <c r="Q10" s="7"/>
      <c r="R10" s="14"/>
      <c r="S10" s="7"/>
    </row>
    <row r="11" spans="2:19" x14ac:dyDescent="0.25">
      <c r="B11" s="4"/>
      <c r="C11" s="2"/>
      <c r="D11" s="2"/>
      <c r="E11" s="2"/>
      <c r="F11" s="19">
        <f t="shared" ref="F11" si="1">(ABS(E10-E12)/G11)</f>
        <v>7.9041408407619626E-2</v>
      </c>
      <c r="G11" s="7">
        <f t="shared" ref="G11" si="2">((C10-C12)^2+(D10-D12)^2)^0.5</f>
        <v>64.339693616968319</v>
      </c>
      <c r="H11" s="7" t="str">
        <f t="shared" ref="H11" si="3">TEXT(MOD(DEGREES(ATAN2(C12-C10, D12-D10 )), 360)/24,"[h]° mm' ss\""")</f>
        <v>195° 07' 08"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1190256.3063000001</v>
      </c>
      <c r="D12" s="7">
        <v>838075.41579999996</v>
      </c>
      <c r="E12" s="7">
        <v>1734.9145000000001</v>
      </c>
      <c r="F12" s="2"/>
      <c r="G12" s="2"/>
      <c r="H12" s="2"/>
      <c r="I12" s="7" t="str">
        <f>TEXT(ABS(MOD(DEGREES(ATAN2(C14-C12, D14-D12)) - DEGREES(ATAN2(C12-C10, D12-D10)) + 180, 360) - 180)/24, "[h]° mm' ss\""")</f>
        <v>24° 09' 20"</v>
      </c>
      <c r="J12" s="7" t="str">
        <f t="shared" ref="J12" si="4">IF( ((C12-C10)*(D14-D12) - (D12-D10)*(C14-C12)) &gt; 0, "Derecha", "Izquierda")</f>
        <v>Izquierda</v>
      </c>
      <c r="K12" s="7">
        <v>50</v>
      </c>
      <c r="L12" s="7"/>
      <c r="M12" s="7"/>
      <c r="N12" s="7"/>
      <c r="O12" s="7"/>
      <c r="P12" s="7"/>
      <c r="Q12" s="7"/>
      <c r="R12" s="14"/>
      <c r="S12" s="14"/>
    </row>
    <row r="13" spans="2:19" x14ac:dyDescent="0.25">
      <c r="B13" s="4"/>
      <c r="C13" s="2"/>
      <c r="D13" s="2"/>
      <c r="E13" s="2"/>
      <c r="F13" s="19">
        <f t="shared" ref="F13" si="5">(ABS(E12-E14)/G13)</f>
        <v>1.0058329096366151E-2</v>
      </c>
      <c r="G13" s="7">
        <f t="shared" ref="G13" si="6">((C12-C14)^2+(D12-D14)^2)^0.5</f>
        <v>216.93463984871246</v>
      </c>
      <c r="H13" s="7" t="str">
        <f t="shared" ref="H13" si="7">TEXT(MOD(DEGREES(ATAN2(C14-C12, D14-D12 )), 360)/24,"[h]° mm' ss\""")</f>
        <v>170° 57' 48"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1190042.0643</v>
      </c>
      <c r="D14" s="7">
        <v>838109.48930000002</v>
      </c>
      <c r="E14" s="7">
        <v>1732.7325000000001</v>
      </c>
      <c r="F14" s="2"/>
      <c r="G14" s="2"/>
      <c r="H14" s="2"/>
      <c r="I14" s="7" t="str">
        <f>TEXT(ABS(MOD(DEGREES(ATAN2(C16-C14, D16-D14)) - DEGREES(ATAN2(C14-C12, D14-D12)) + 180, 360) - 180)/24, "[h]° mm' ss\""")</f>
        <v>122° 14' 16"</v>
      </c>
      <c r="J14" s="7" t="str">
        <f t="shared" ref="J14" si="8">IF( ((C14-C12)*(D16-D14) - (D14-D12)*(C16-C14)) &gt; 0, "Derecha", "Izquierda")</f>
        <v>Derecha</v>
      </c>
      <c r="K14" s="7">
        <v>50</v>
      </c>
      <c r="L14" s="7"/>
      <c r="M14" s="7"/>
      <c r="N14" s="7"/>
      <c r="O14" s="7"/>
      <c r="P14" s="7"/>
      <c r="Q14" s="7"/>
      <c r="R14" s="14"/>
      <c r="S14" s="7"/>
    </row>
    <row r="15" spans="2:19" x14ac:dyDescent="0.25">
      <c r="B15" s="4"/>
      <c r="C15" s="2"/>
      <c r="D15" s="2"/>
      <c r="E15" s="2"/>
      <c r="F15" s="19">
        <f t="shared" ref="F15" si="9">(ABS(E14-E16)/G15)</f>
        <v>0.18737029675951541</v>
      </c>
      <c r="G15" s="7">
        <f t="shared" ref="G15" si="10">((C14-C16)^2+(D14-D16)^2)^0.5</f>
        <v>529.43823922807655</v>
      </c>
      <c r="H15" s="7" t="str">
        <f t="shared" ref="H15" si="11">TEXT(MOD(DEGREES(ATAN2(C16-C14, D16-D14 )), 360)/24,"[h]° mm' ss\""")</f>
        <v>293° 12' 04"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1190250.6406</v>
      </c>
      <c r="D16" s="7">
        <v>837622.86750000005</v>
      </c>
      <c r="E16" s="7">
        <v>1633.5315000000001</v>
      </c>
      <c r="F16" s="2"/>
      <c r="G16" s="2"/>
      <c r="H16" s="2"/>
      <c r="I16" s="7" t="str">
        <f>TEXT(ABS(MOD(DEGREES(ATAN2(C18-C16, D18-D16)) - DEGREES(ATAN2(C16-C14, D16-D14)) + 180, 360) - 180)/24, "[h]° mm' ss\""")</f>
        <v>130° 26' 09"</v>
      </c>
      <c r="J16" s="7" t="str">
        <f t="shared" ref="J16" si="12">IF( ((C16-C14)*(D18-D16) - (D16-D14)*(C18-C16)) &gt; 0, "Derecha", "Izquierda")</f>
        <v>Izquierda</v>
      </c>
      <c r="K16" s="7">
        <v>60</v>
      </c>
      <c r="L16" s="7"/>
      <c r="M16" s="7"/>
      <c r="N16" s="7"/>
      <c r="O16" s="7"/>
      <c r="P16" s="7"/>
      <c r="Q16" s="7"/>
      <c r="R16" s="14"/>
      <c r="S16" s="14"/>
    </row>
    <row r="17" spans="2:19" x14ac:dyDescent="0.25">
      <c r="B17" s="4"/>
      <c r="C17" s="2"/>
      <c r="D17" s="2"/>
      <c r="E17" s="2"/>
      <c r="F17" s="19">
        <f t="shared" ref="F17" si="13">(ABS(E16-E18)/G17)</f>
        <v>0.24948257463763157</v>
      </c>
      <c r="G17" s="7">
        <f t="shared" ref="G17" si="14">((C16-C18)^2+(D16-D18)^2)^0.5</f>
        <v>443.52356135781787</v>
      </c>
      <c r="H17" s="7" t="str">
        <f t="shared" ref="H17" si="15">TEXT(MOD(DEGREES(ATAN2(C18-C16, D18-D16 )), 360)/24,"[h]° mm' ss\""")</f>
        <v>162° 45' 55"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65</v>
      </c>
      <c r="C18" s="7">
        <v>1189827.0319999999</v>
      </c>
      <c r="D18" s="7">
        <v>837754.27870000002</v>
      </c>
      <c r="E18" s="7">
        <v>1744.1829</v>
      </c>
      <c r="F18" s="2"/>
      <c r="G18" s="2"/>
      <c r="H18" s="2"/>
      <c r="I18" s="7" t="str">
        <f>TEXT(ABS(MOD(DEGREES(ATAN2(C20-C18, D20-D18)) - DEGREES(ATAN2(C18-C16, D18-D16)) + 180, 360) - 180)/24, "[h]° mm' ss\""")</f>
        <v>20° 49' 02"</v>
      </c>
      <c r="J18" s="7" t="str">
        <f t="shared" ref="J18" si="16">IF( ((C18-C16)*(D20-D18) - (D18-D16)*(C20-C18)) &gt; 0, "Derecha", "Izquierda")</f>
        <v>Derecha</v>
      </c>
      <c r="K18" s="7">
        <v>60</v>
      </c>
      <c r="L18" s="7"/>
      <c r="M18" s="7"/>
      <c r="N18" s="7"/>
      <c r="O18" s="7"/>
      <c r="P18" s="7"/>
      <c r="Q18" s="7"/>
      <c r="R18" s="14"/>
      <c r="S18" s="7"/>
    </row>
    <row r="19" spans="2:19" x14ac:dyDescent="0.25">
      <c r="B19" s="4"/>
      <c r="C19" s="2"/>
      <c r="D19" s="2"/>
      <c r="E19" s="2"/>
      <c r="F19" s="19">
        <f t="shared" ref="F19" si="17">(ABS(E18-E20)/G19)</f>
        <v>0.13030247731119496</v>
      </c>
      <c r="G19" s="7">
        <f t="shared" ref="G19" si="18">((C18-C20)^2+(D18-D20)^2)^0.5</f>
        <v>492.68364903515572</v>
      </c>
      <c r="H19" s="7" t="str">
        <f t="shared" ref="H19" si="19">TEXT(MOD(DEGREES(ATAN2(C20-C18, D20-D18 )), 360)/24,"[h]° mm' ss\""")</f>
        <v>183° 34' 56"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 x14ac:dyDescent="0.25">
      <c r="B20" s="5" t="s">
        <v>23</v>
      </c>
      <c r="C20" s="7">
        <v>1189335.311</v>
      </c>
      <c r="D20" s="7">
        <v>837723.495</v>
      </c>
      <c r="E20" s="7">
        <v>1679.9849999999999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5"/>
      <c r="S20" s="16"/>
    </row>
    <row r="21" spans="2:19" x14ac:dyDescent="0.25">
      <c r="B21" s="5" t="s">
        <v>24</v>
      </c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7"/>
      <c r="S21" s="7"/>
    </row>
  </sheetData>
  <mergeCells count="14"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60" zoomScaleNormal="160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5" t="s">
        <v>2</v>
      </c>
      <c r="C2" s="24" t="s">
        <v>25</v>
      </c>
      <c r="D2" s="24" t="s">
        <v>26</v>
      </c>
      <c r="E2" s="24" t="s">
        <v>13</v>
      </c>
      <c r="F2" s="22" t="s">
        <v>7</v>
      </c>
      <c r="G2" s="24" t="s">
        <v>27</v>
      </c>
      <c r="H2" s="24" t="s">
        <v>28</v>
      </c>
      <c r="I2" s="22" t="s">
        <v>29</v>
      </c>
      <c r="J2" s="24" t="s">
        <v>30</v>
      </c>
      <c r="K2" s="25" t="s">
        <v>31</v>
      </c>
      <c r="L2" s="25"/>
      <c r="M2" s="25"/>
      <c r="N2" s="25"/>
      <c r="O2" s="25" t="s">
        <v>32</v>
      </c>
      <c r="P2" s="25"/>
      <c r="Q2" s="25"/>
      <c r="R2" s="25"/>
      <c r="S2" s="25"/>
      <c r="T2" s="25"/>
      <c r="U2" s="25"/>
      <c r="V2" s="25"/>
    </row>
    <row r="3" spans="2:22" x14ac:dyDescent="0.25">
      <c r="B3" s="25"/>
      <c r="C3" s="24"/>
      <c r="D3" s="24"/>
      <c r="E3" s="25"/>
      <c r="F3" s="23"/>
      <c r="G3" s="25"/>
      <c r="H3" s="25"/>
      <c r="I3" s="23"/>
      <c r="J3" s="25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5" t="s">
        <v>39</v>
      </c>
      <c r="C2" s="24" t="s">
        <v>4</v>
      </c>
      <c r="D2" s="24" t="s">
        <v>40</v>
      </c>
      <c r="E2" s="22" t="s">
        <v>41</v>
      </c>
      <c r="F2" s="22" t="s">
        <v>42</v>
      </c>
      <c r="G2" s="22" t="s">
        <v>43</v>
      </c>
      <c r="H2" s="25" t="s">
        <v>44</v>
      </c>
      <c r="I2" s="22" t="s">
        <v>45</v>
      </c>
      <c r="J2" s="24" t="s">
        <v>46</v>
      </c>
      <c r="K2" s="24" t="s">
        <v>47</v>
      </c>
      <c r="L2" s="24" t="s">
        <v>48</v>
      </c>
      <c r="M2" s="24" t="s">
        <v>49</v>
      </c>
      <c r="N2" s="24" t="s">
        <v>50</v>
      </c>
      <c r="O2" s="24" t="s">
        <v>51</v>
      </c>
      <c r="P2" s="24" t="s">
        <v>52</v>
      </c>
      <c r="Q2" s="24" t="s">
        <v>53</v>
      </c>
      <c r="R2" s="24"/>
      <c r="S2" s="25" t="s">
        <v>14</v>
      </c>
      <c r="T2" s="25"/>
      <c r="U2" s="25"/>
      <c r="V2" s="25" t="s">
        <v>54</v>
      </c>
      <c r="W2" s="25"/>
      <c r="X2" s="25"/>
    </row>
    <row r="3" spans="2:24" x14ac:dyDescent="0.25">
      <c r="B3" s="25"/>
      <c r="C3" s="25"/>
      <c r="D3" s="25"/>
      <c r="E3" s="23"/>
      <c r="F3" s="23"/>
      <c r="G3" s="23"/>
      <c r="H3" s="25"/>
      <c r="I3" s="23"/>
      <c r="J3" s="25"/>
      <c r="K3" s="25"/>
      <c r="L3" s="25"/>
      <c r="M3" s="25"/>
      <c r="N3" s="25"/>
      <c r="O3" s="25"/>
      <c r="P3" s="25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2025-10-05T22:56:28Z</dcterms:modified>
  <cp:category/>
  <cp:contentStatus/>
</cp:coreProperties>
</file>