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Excel_\"/>
    </mc:Choice>
  </mc:AlternateContent>
  <xr:revisionPtr revIDLastSave="0" documentId="8_{041D0FDF-9621-474E-9F81-251969988C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9" i="1"/>
  <c r="R10" i="1"/>
  <c r="G9" i="1"/>
  <c r="Q10" i="1" l="1"/>
  <c r="Q12" i="1"/>
  <c r="Q14" i="1"/>
  <c r="Q8" i="1"/>
  <c r="N10" i="1"/>
  <c r="O10" i="1" l="1"/>
  <c r="P10" i="1" s="1"/>
  <c r="O12" i="1"/>
  <c r="P12" i="1" s="1"/>
  <c r="O14" i="1"/>
  <c r="P14" i="1" s="1"/>
  <c r="O8" i="1"/>
  <c r="P8" i="1" s="1"/>
  <c r="N12" i="1"/>
  <c r="N14" i="1"/>
  <c r="N8" i="1"/>
  <c r="M10" i="1"/>
  <c r="M12" i="1"/>
  <c r="M14" i="1"/>
  <c r="M8" i="1"/>
  <c r="I14" i="1"/>
  <c r="J14" i="1"/>
  <c r="G15" i="1"/>
  <c r="F15" i="1" s="1"/>
  <c r="H15" i="1"/>
  <c r="H7" i="1" l="1"/>
  <c r="I8" i="1"/>
  <c r="I12" i="1"/>
  <c r="I10" i="1"/>
  <c r="I17" i="1"/>
  <c r="J10" i="1"/>
  <c r="J12" i="1"/>
  <c r="J8" i="1"/>
  <c r="H11" i="1"/>
  <c r="H13" i="1"/>
  <c r="H9" i="1"/>
  <c r="G11" i="1"/>
  <c r="G13" i="1"/>
  <c r="F13" i="1" s="1"/>
  <c r="G7" i="1"/>
  <c r="F7" i="1" l="1"/>
  <c r="R8" i="1"/>
  <c r="S8" i="1" s="1"/>
  <c r="S10" i="1" s="1"/>
  <c r="R12" i="1" s="1"/>
  <c r="S12" i="1" s="1"/>
  <c r="R14" i="1" s="1"/>
  <c r="S14" i="1" s="1"/>
  <c r="R16" i="1" s="1"/>
</calcChain>
</file>

<file path=xl/sharedStrings.xml><?xml version="1.0" encoding="utf-8"?>
<sst xmlns="http://schemas.openxmlformats.org/spreadsheetml/2006/main" count="98" uniqueCount="69">
  <si>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</si>
  <si>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</si>
  <si>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</si>
  <si>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</si>
  <si>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</si>
  <si>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</si>
  <si>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</si>
  <si>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</si>
  <si>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</si>
  <si>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</si>
  <si>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</si>
  <si>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</si>
  <si>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</si>
  <si>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</si>
  <si>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</si>
  <si>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</si>
  <si>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</si>
  <si>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</si>
  <si>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</si>
  <si>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</si>
  <si>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</si>
  <si>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</si>
  <si>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</si>
  <si>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</si>
  <si>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</si>
  <si>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</si>
  <si>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</si>
  <si>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</si>
  <si>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</si>
  <si>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</si>
  <si>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</si>
  <si>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</si>
  <si>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</si>
  <si>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</si>
  <si>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</si>
  <si>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</si>
  <si>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</si>
  <si>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</si>
  <si>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</si>
  <si>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</si>
  <si>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</si>
  <si>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</si>
  <si>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</si>
  <si>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</si>
  <si>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</si>
  <si>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</si>
  <si>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</si>
  <si>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</si>
  <si>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</si>
  <si>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</si>
  <si>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</si>
  <si>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</si>
  <si>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</si>
  <si>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</si>
  <si>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</si>
  <si>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</si>
  <si>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</si>
  <si>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</si>
  <si>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</si>
  <si>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</si>
  <si>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</si>
  <si>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</si>
  <si>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</si>
  <si>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</si>
  <si>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</si>
  <si>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DISTANCIA XY
[m]</t>
  </si>
  <si>
    <t>-</t>
  </si>
  <si>
    <t>P2 (Obligatorio)</t>
  </si>
  <si>
    <t>K+00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</si>
</sst>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7"/>
  <sheetViews>
    <sheetView tabSelected="1" zoomScale="70" zoomScaleNormal="70" workbookViewId="0">
      <selection activeCell="H23" sqref="H23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4" width="11.42578125" style="1"/>
    <col min="15" max="16" width="11.85546875" style="1" bestFit="1" customWidth="1"/>
    <col min="17" max="17" width="11.42578125" style="1"/>
    <col min="18" max="18" width="20" style="1" customWidth="1"/>
    <col min="19" max="19" width="19.5703125" style="1" bestFit="1" customWidth="1"/>
    <col min="20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F2" s="2">
        <v>5</v>
      </c>
      <c r="H2" s="12" t="s">
        <v>60</v>
      </c>
      <c r="I2" s="2">
        <v>8</v>
      </c>
    </row>
    <row r="4" spans="2:19" ht="15" customHeight="1" x14ac:dyDescent="0.25">
      <c r="B4" s="20" t="s">
        <v>2</v>
      </c>
      <c r="C4" s="29" t="s">
        <v>3</v>
      </c>
      <c r="D4" s="30"/>
      <c r="E4" s="23" t="s">
        <v>59</v>
      </c>
      <c r="F4" s="27" t="s">
        <v>4</v>
      </c>
      <c r="G4" s="27" t="s">
        <v>65</v>
      </c>
      <c r="H4" s="27" t="s">
        <v>5</v>
      </c>
      <c r="I4" s="25" t="s">
        <v>6</v>
      </c>
      <c r="J4" s="26"/>
      <c r="K4" s="15" t="s">
        <v>7</v>
      </c>
      <c r="L4" s="27" t="s">
        <v>8</v>
      </c>
      <c r="M4" s="27" t="s">
        <v>9</v>
      </c>
      <c r="N4" s="31" t="s">
        <v>10</v>
      </c>
      <c r="O4" s="13" t="s">
        <v>11</v>
      </c>
      <c r="P4" s="31" t="s">
        <v>12</v>
      </c>
      <c r="Q4" s="31" t="s">
        <v>13</v>
      </c>
      <c r="R4" s="20" t="s">
        <v>14</v>
      </c>
      <c r="S4" s="20"/>
    </row>
    <row r="5" spans="2:19" ht="27" customHeight="1" x14ac:dyDescent="0.25">
      <c r="B5" s="20"/>
      <c r="C5" s="12" t="s">
        <v>15</v>
      </c>
      <c r="D5" s="12" t="s">
        <v>16</v>
      </c>
      <c r="E5" s="24"/>
      <c r="F5" s="28"/>
      <c r="G5" s="28"/>
      <c r="H5" s="28"/>
      <c r="I5" s="12" t="s">
        <v>17</v>
      </c>
      <c r="J5" s="12" t="s">
        <v>18</v>
      </c>
      <c r="K5" s="16"/>
      <c r="L5" s="28"/>
      <c r="M5" s="28"/>
      <c r="N5" s="20"/>
      <c r="O5" s="12"/>
      <c r="P5" s="20"/>
      <c r="Q5" s="20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1" t="s">
        <v>68</v>
      </c>
      <c r="S6" s="22"/>
    </row>
    <row r="7" spans="2:19" x14ac:dyDescent="0.25">
      <c r="B7" s="4"/>
      <c r="C7" s="2"/>
      <c r="D7" s="2"/>
      <c r="E7" s="2"/>
      <c r="F7" s="17">
        <f>(ABS(E6-E8)/G7)</f>
        <v>8.3230833303875568E-2</v>
      </c>
      <c r="G7" s="7">
        <f>((C6-C8)^2+(D6-D8)^2)^0.5</f>
        <v>315.62942430346561</v>
      </c>
      <c r="H7" s="7" t="str">
        <f>TEXT(MOD(DEGREES(ATAN2(C8-C6, D8-D6 )), 360)/24,"[h]° mm' ss\""")</f>
        <v>180° 57' 41"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1190637.0659</v>
      </c>
      <c r="D8" s="7">
        <v>838036.55619999999</v>
      </c>
      <c r="E8" s="7">
        <v>1736.3364999999999</v>
      </c>
      <c r="F8" s="2"/>
      <c r="G8" s="2"/>
      <c r="H8" s="2"/>
      <c r="I8" s="7" t="str">
        <f>TEXT(ABS(MOD(DEGREES(ATAN2(C17-C8, D17-D8)) - DEGREES(ATAN2(C8-C6, D8-D6)) + 180, 360) - 180)/24, "[h]° mm' ss\""")</f>
        <v>10° 51' 58"</v>
      </c>
      <c r="J8" s="7" t="str">
        <f>IF( ((C8-C6)*(D17-D8) - (D8-D6)*(C17-C8)) &gt; 0, "Derecha", "Izquierda")</f>
        <v>Izquierda</v>
      </c>
      <c r="K8" s="7">
        <v>60</v>
      </c>
      <c r="L8" s="7">
        <v>113</v>
      </c>
      <c r="M8" s="7" t="str">
        <f>TEXT(DEGREES(2*ASIN($F$2/(2*L8)))/24, "[h]° mm' ss\""")</f>
        <v>2° 32' 08"</v>
      </c>
      <c r="N8" s="7" t="str">
        <f>TEXT( (INT(DEGREES(2*ASIN($F$2/(2*L8)))*2)/2) /24, "[h]° mm' ss\""")</f>
        <v>2° 30' 00"</v>
      </c>
      <c r="O8" s="7">
        <f>$F$2/(2*SIN(RADIANS(INT(DEGREES(2*ASIN($F$2/(2*L8)))*2)/2)/2))</f>
        <v>114.60064978748562</v>
      </c>
      <c r="P8" s="7">
        <f>O8*TAN((ABS(RADIANS((MOD(DEGREES(ATAN2(C17-C8, D17-D8)) - DEGREES(ATAN2(C8-C6, D8-D6)) + 180, 360) - 180))))/2)</f>
        <v>10.899751307708526</v>
      </c>
      <c r="Q8" s="7">
        <f>($F$2*ABS(MOD(DEGREES(ATAN2(C17-C8, D17-D8)) - DEGREES(ATAN2(C8-C6, D8-D6)) + 180, 360) - 180))/(INT(DEGREES(2*ASIN($F$2/(2*L8)))*2)/2)</f>
        <v>21.732399894362743</v>
      </c>
      <c r="R8" s="14">
        <f>G7-P8</f>
        <v>304.72967299575708</v>
      </c>
      <c r="S8" s="14">
        <f>R8+Q8</f>
        <v>326.46207289011983</v>
      </c>
    </row>
    <row r="9" spans="2:19" x14ac:dyDescent="0.25">
      <c r="B9" s="4"/>
      <c r="C9" s="2"/>
      <c r="D9" s="2"/>
      <c r="E9" s="2"/>
      <c r="F9" s="17">
        <f>(ABS(E8-E10)/G9)</f>
        <v>7.3553990850536877E-2</v>
      </c>
      <c r="G9" s="7">
        <f>((C8-C10)^2+(D8-D10)^2)^0.5</f>
        <v>685.7180612060821</v>
      </c>
      <c r="H9" s="7" t="str">
        <f>TEXT(MOD(DEGREES(ATAN2(C17-C8, D17-D8 )), 360)/24,"[h]° mm' ss\""")</f>
        <v>170° 05' 42"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62</v>
      </c>
      <c r="C10" s="7">
        <v>1189961.5686999999</v>
      </c>
      <c r="D10" s="7">
        <v>838154.50870000001</v>
      </c>
      <c r="E10" s="7">
        <v>1786.7737999999999</v>
      </c>
      <c r="F10" s="2"/>
      <c r="G10" s="2"/>
      <c r="H10" s="2"/>
      <c r="I10" s="7" t="str">
        <f>TEXT(ABS(MOD(DEGREES(ATAN2(C12-C10, D12-D10)) - DEGREES(ATAN2(C10-C17, D10-D17)) + 180, 360) - 180)/24, "[h]° mm' ss\""")</f>
        <v>136° 31' 59"</v>
      </c>
      <c r="J10" s="7" t="str">
        <f>IF( ((C10-C17)*(D12-D10) - (D10-D17)*(C12-C10)) &gt; 0, "Derecha", "Izquierda")</f>
        <v>Derecha</v>
      </c>
      <c r="K10" s="7">
        <v>60</v>
      </c>
      <c r="L10" s="7">
        <v>113</v>
      </c>
      <c r="M10" s="7" t="str">
        <f t="shared" ref="M10" si="0">TEXT(DEGREES(2*ASIN($F$2/(2*L10)))/24, "[h]° mm' ss\""")</f>
        <v>2° 32' 08"</v>
      </c>
      <c r="N10" s="7" t="str">
        <f>TEXT( (INT(DEGREES(2*ASIN($F$2/(2*L10)))*2)/2) /24, "[h]° mm' ss\""")</f>
        <v>2° 30' 00"</v>
      </c>
      <c r="O10" s="7">
        <f t="shared" ref="O10" si="1">$F$2/(2*SIN(RADIANS(INT(DEGREES(2*ASIN($F$2/(2*L10)))*2)/2)/2))</f>
        <v>114.60064978748562</v>
      </c>
      <c r="P10" s="7">
        <f>O10*TAN((ABS(RADIANS((MOD(DEGREES(ATAN2(C12-C10, D12-D10)) - DEGREES(ATAN2(C10-C17, D10-D17)) + 180, 360) - 180))))/2)</f>
        <v>287.4899134179521</v>
      </c>
      <c r="Q10" s="7">
        <f>($F$2*ABS(MOD(DEGREES(ATAN2(C12-C10, D12-D10)) - DEGREES(ATAN2(C10-C17, D10-D17)) + 180, 360) - 180))/(INT(DEGREES(2*ASIN($F$2/(2*L10)))*2)/2)</f>
        <v>273.06616347535021</v>
      </c>
      <c r="R10" s="14">
        <f>S8+G9-P10-P8</f>
        <v>713.79046937054147</v>
      </c>
      <c r="S10" s="14">
        <f>R10+Q10</f>
        <v>986.85663284589168</v>
      </c>
    </row>
    <row r="11" spans="2:19" x14ac:dyDescent="0.25">
      <c r="B11" s="4"/>
      <c r="C11" s="2"/>
      <c r="D11" s="2"/>
      <c r="E11" s="2"/>
      <c r="F11" s="17">
        <f>(ABS(E10-E12)/G11)</f>
        <v>0.30017859842756672</v>
      </c>
      <c r="G11" s="7">
        <f t="shared" ref="G11" si="2">((C10-C12)^2+(D10-D12)^2)^0.5</f>
        <v>782.11371906532167</v>
      </c>
      <c r="H11" s="7" t="str">
        <f t="shared" ref="H11" si="3">TEXT(MOD(DEGREES(ATAN2(C12-C10, D12-D10 )), 360)/24,"[h]° mm' ss\""")</f>
        <v>306° 37' 42"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63</v>
      </c>
      <c r="C12" s="7">
        <v>1190428.1932999999</v>
      </c>
      <c r="D12" s="7">
        <v>837526.84369999997</v>
      </c>
      <c r="E12" s="7">
        <v>1552</v>
      </c>
      <c r="F12" s="2"/>
      <c r="G12" s="2"/>
      <c r="H12" s="2"/>
      <c r="I12" s="7" t="str">
        <f>TEXT(ABS(MOD(DEGREES(ATAN2(C14-C12, D14-D12)) - DEGREES(ATAN2(C12-C10, D12-D10)) + 180, 360) - 180)/24, "[h]° mm' ss\""")</f>
        <v>147° 21' 04"</v>
      </c>
      <c r="J12" s="7" t="str">
        <f t="shared" ref="J12" si="4">IF( ((C12-C10)*(D14-D12) - (D12-D10)*(C14-C12)) &gt; 0, "Derecha", "Izquierda")</f>
        <v>Izquierda</v>
      </c>
      <c r="K12" s="7">
        <v>60</v>
      </c>
      <c r="L12" s="7">
        <v>113</v>
      </c>
      <c r="M12" s="7" t="str">
        <f t="shared" ref="M12" si="5">TEXT(DEGREES(2*ASIN($F$2/(2*L12)))/24, "[h]° mm' ss\""")</f>
        <v>2° 32' 08"</v>
      </c>
      <c r="N12" s="7" t="str">
        <f t="shared" ref="N12" si="6">TEXT( (INT(DEGREES(2*ASIN($F$2/(2*L12)))*2)/2) /24, "[h]° mm' ss\""")</f>
        <v>2° 30' 00"</v>
      </c>
      <c r="O12" s="7">
        <f t="shared" ref="O12" si="7">$F$2/(2*SIN(RADIANS(INT(DEGREES(2*ASIN($F$2/(2*L12)))*2)/2)/2))</f>
        <v>114.60064978748562</v>
      </c>
      <c r="P12" s="7">
        <f t="shared" ref="P12" si="8">O12*TAN((ABS(RADIANS((MOD(DEGREES(ATAN2(C14-C12, D14-D12)) - DEGREES(ATAN2(C12-C10, D12-D10)) + 180, 360) - 180))))/2)</f>
        <v>391.28418514142305</v>
      </c>
      <c r="Q12" s="7">
        <f t="shared" ref="Q12" si="9">($F$2*ABS(MOD(DEGREES(ATAN2(C14-C12, D14-D12)) - DEGREES(ATAN2(C12-C10, D12-D10)) + 180, 360) - 180))/(INT(DEGREES(2*ASIN($F$2/(2*L12)))*2)/2)</f>
        <v>294.70226884513136</v>
      </c>
      <c r="R12" s="14">
        <f>S10+G11-P10-P12</f>
        <v>1090.1962533518383</v>
      </c>
      <c r="S12" s="14">
        <f>R12+Q12</f>
        <v>1384.8985221969697</v>
      </c>
    </row>
    <row r="13" spans="2:19" x14ac:dyDescent="0.25">
      <c r="B13" s="4"/>
      <c r="C13" s="2"/>
      <c r="D13" s="2"/>
      <c r="E13" s="2"/>
      <c r="F13" s="17">
        <f t="shared" ref="F13" si="10">(ABS(E12-E14)/G13)</f>
        <v>0.29900317338174925</v>
      </c>
      <c r="G13" s="7">
        <f t="shared" ref="G13" si="11">((C12-C14)^2+(D12-D14)^2)^0.5</f>
        <v>642.74535225294233</v>
      </c>
      <c r="H13" s="7" t="str">
        <f t="shared" ref="H13" si="12">TEXT(MOD(DEGREES(ATAN2(C14-C12, D14-D12 )), 360)/24,"[h]° mm' ss\""")</f>
        <v>159° 16' 37"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64</v>
      </c>
      <c r="C14" s="7">
        <v>1189827.0319999999</v>
      </c>
      <c r="D14" s="7">
        <v>837754.27870000002</v>
      </c>
      <c r="E14" s="7">
        <v>1744.1829</v>
      </c>
      <c r="F14" s="2"/>
      <c r="G14" s="2"/>
      <c r="H14" s="2"/>
      <c r="I14" s="7" t="str">
        <f>TEXT(ABS(MOD(DEGREES(ATAN2(C16-C14, D16-D14)) - DEGREES(ATAN2(C14-C12, D14-D12)) + 180, 360) - 180)/24, "[h]° mm' ss\""")</f>
        <v>24° 18' 19"</v>
      </c>
      <c r="J14" s="7" t="str">
        <f t="shared" ref="J14" si="13">IF( ((C14-C12)*(D16-D14) - (D14-D12)*(C16-C14)) &gt; 0, "Derecha", "Izquierda")</f>
        <v>Derecha</v>
      </c>
      <c r="K14" s="7">
        <v>60</v>
      </c>
      <c r="L14" s="7">
        <v>113</v>
      </c>
      <c r="M14" s="7" t="str">
        <f t="shared" ref="M14" si="14">TEXT(DEGREES(2*ASIN($F$2/(2*L14)))/24, "[h]° mm' ss\""")</f>
        <v>2° 32' 08"</v>
      </c>
      <c r="N14" s="7" t="str">
        <f t="shared" ref="N14" si="15">TEXT( (INT(DEGREES(2*ASIN($F$2/(2*L14)))*2)/2) /24, "[h]° mm' ss\""")</f>
        <v>2° 30' 00"</v>
      </c>
      <c r="O14" s="7">
        <f t="shared" ref="O14" si="16">$F$2/(2*SIN(RADIANS(INT(DEGREES(2*ASIN($F$2/(2*L14)))*2)/2)/2))</f>
        <v>114.60064978748562</v>
      </c>
      <c r="P14" s="7">
        <f t="shared" ref="P14" si="17">O14*TAN((ABS(RADIANS((MOD(DEGREES(ATAN2(C16-C14, D16-D14)) - DEGREES(ATAN2(C14-C12, D14-D12)) + 180, 360) - 180))))/2)</f>
        <v>24.678323742737106</v>
      </c>
      <c r="Q14" s="7">
        <f t="shared" ref="Q14" si="18">($F$2*ABS(MOD(DEGREES(ATAN2(C16-C14, D16-D14)) - DEGREES(ATAN2(C14-C12, D14-D12)) + 180, 360) - 180))/(INT(DEGREES(2*ASIN($F$2/(2*L14)))*2)/2)</f>
        <v>48.610415042551722</v>
      </c>
      <c r="R14" s="14">
        <f>S12+G13-P12-P14</f>
        <v>1611.6813655657518</v>
      </c>
      <c r="S14" s="14">
        <f>R14+Q14</f>
        <v>1660.2917806083035</v>
      </c>
    </row>
    <row r="15" spans="2:19" x14ac:dyDescent="0.25">
      <c r="B15" s="4"/>
      <c r="C15" s="2"/>
      <c r="D15" s="2"/>
      <c r="E15" s="2"/>
      <c r="F15" s="17">
        <f t="shared" ref="F15" si="19">(ABS(E14-E16)/G15)</f>
        <v>0.13030247731119496</v>
      </c>
      <c r="G15" s="7">
        <f t="shared" ref="G15" si="20">((C14-C16)^2+(D14-D16)^2)^0.5</f>
        <v>492.68364903515572</v>
      </c>
      <c r="H15" s="7" t="str">
        <f t="shared" ref="H15" si="21">TEXT(MOD(DEGREES(ATAN2(C16-C14, D16-D14 )), 360)/24,"[h]° mm' ss\""")</f>
        <v>183° 34' 56"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23</v>
      </c>
      <c r="C16" s="7">
        <v>1189335.311</v>
      </c>
      <c r="D16" s="7">
        <v>837723.495</v>
      </c>
      <c r="E16" s="7">
        <v>1679.9849999999999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8">
        <f>S14+G15-P14</f>
        <v>2128.2971059007223</v>
      </c>
      <c r="S16" s="19"/>
    </row>
    <row r="17" spans="2:19" x14ac:dyDescent="0.25">
      <c r="B17" s="5" t="s">
        <v>67</v>
      </c>
      <c r="C17" s="7">
        <v>1190318.419</v>
      </c>
      <c r="D17" s="7">
        <v>838092.19700000004</v>
      </c>
      <c r="E17" s="7">
        <v>1740</v>
      </c>
      <c r="F17" s="2"/>
      <c r="G17" s="2"/>
      <c r="H17" s="2"/>
      <c r="I17" s="7" t="str">
        <f>TEXT(ABS(MOD(DEGREES(ATAN2(C10-C17, D10-D17)) - DEGREES(ATAN2(C17-C8, D17-D8)) + 180, 360) - 180)/24, "[h]° mm' ss\""")</f>
        <v>0° 00' 00"</v>
      </c>
      <c r="J17" s="7" t="s">
        <v>66</v>
      </c>
      <c r="K17" s="7" t="s">
        <v>66</v>
      </c>
      <c r="L17" s="7" t="s">
        <v>66</v>
      </c>
      <c r="M17" s="7" t="s">
        <v>66</v>
      </c>
      <c r="N17" s="7" t="s">
        <v>66</v>
      </c>
      <c r="O17" s="7" t="s">
        <v>66</v>
      </c>
      <c r="P17" s="7" t="s">
        <v>66</v>
      </c>
      <c r="Q17" s="7" t="s">
        <v>66</v>
      </c>
      <c r="R17" s="18">
        <v>639.03062838276549</v>
      </c>
      <c r="S17" s="19"/>
    </row>
  </sheetData>
  <mergeCells count="16">
    <mergeCell ref="R16:S16"/>
    <mergeCell ref="R17:S17"/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15" zoomScaleNormal="115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20" t="s">
        <v>2</v>
      </c>
      <c r="C2" s="31" t="s">
        <v>25</v>
      </c>
      <c r="D2" s="31" t="s">
        <v>26</v>
      </c>
      <c r="E2" s="31" t="s">
        <v>13</v>
      </c>
      <c r="F2" s="27" t="s">
        <v>7</v>
      </c>
      <c r="G2" s="31" t="s">
        <v>27</v>
      </c>
      <c r="H2" s="31" t="s">
        <v>28</v>
      </c>
      <c r="I2" s="27" t="s">
        <v>29</v>
      </c>
      <c r="J2" s="31" t="s">
        <v>30</v>
      </c>
      <c r="K2" s="20" t="s">
        <v>31</v>
      </c>
      <c r="L2" s="20"/>
      <c r="M2" s="20"/>
      <c r="N2" s="20"/>
      <c r="O2" s="20" t="s">
        <v>32</v>
      </c>
      <c r="P2" s="20"/>
      <c r="Q2" s="20"/>
      <c r="R2" s="20"/>
      <c r="S2" s="20"/>
      <c r="T2" s="20"/>
      <c r="U2" s="20"/>
      <c r="V2" s="20"/>
    </row>
    <row r="3" spans="2:22" x14ac:dyDescent="0.25">
      <c r="B3" s="20"/>
      <c r="C3" s="31"/>
      <c r="D3" s="31"/>
      <c r="E3" s="20"/>
      <c r="F3" s="28"/>
      <c r="G3" s="20"/>
      <c r="H3" s="20"/>
      <c r="I3" s="28"/>
      <c r="J3" s="20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B2:B3"/>
    <mergeCell ref="C2:C3"/>
    <mergeCell ref="E2:E3"/>
    <mergeCell ref="D2:D3"/>
    <mergeCell ref="I2:I3"/>
    <mergeCell ref="F2:F3"/>
    <mergeCell ref="S2:V2"/>
    <mergeCell ref="O2:R2"/>
    <mergeCell ref="G2:G3"/>
    <mergeCell ref="H2:H3"/>
    <mergeCell ref="J2:J3"/>
    <mergeCell ref="K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20" t="s">
        <v>39</v>
      </c>
      <c r="C2" s="31" t="s">
        <v>4</v>
      </c>
      <c r="D2" s="31" t="s">
        <v>40</v>
      </c>
      <c r="E2" s="27" t="s">
        <v>41</v>
      </c>
      <c r="F2" s="27" t="s">
        <v>42</v>
      </c>
      <c r="G2" s="27" t="s">
        <v>43</v>
      </c>
      <c r="H2" s="20" t="s">
        <v>44</v>
      </c>
      <c r="I2" s="27" t="s">
        <v>45</v>
      </c>
      <c r="J2" s="31" t="s">
        <v>46</v>
      </c>
      <c r="K2" s="31" t="s">
        <v>47</v>
      </c>
      <c r="L2" s="31" t="s">
        <v>48</v>
      </c>
      <c r="M2" s="31" t="s">
        <v>49</v>
      </c>
      <c r="N2" s="31" t="s">
        <v>50</v>
      </c>
      <c r="O2" s="31" t="s">
        <v>51</v>
      </c>
      <c r="P2" s="31" t="s">
        <v>52</v>
      </c>
      <c r="Q2" s="31" t="s">
        <v>53</v>
      </c>
      <c r="R2" s="31"/>
      <c r="S2" s="20" t="s">
        <v>14</v>
      </c>
      <c r="T2" s="20"/>
      <c r="U2" s="20"/>
      <c r="V2" s="20" t="s">
        <v>54</v>
      </c>
      <c r="W2" s="20"/>
      <c r="X2" s="20"/>
    </row>
    <row r="3" spans="2:24" x14ac:dyDescent="0.25">
      <c r="B3" s="20"/>
      <c r="C3" s="20"/>
      <c r="D3" s="20"/>
      <c r="E3" s="28"/>
      <c r="F3" s="28"/>
      <c r="G3" s="28"/>
      <c r="H3" s="20"/>
      <c r="I3" s="28"/>
      <c r="J3" s="20"/>
      <c r="K3" s="20"/>
      <c r="L3" s="20"/>
      <c r="M3" s="20"/>
      <c r="N3" s="20"/>
      <c r="O3" s="20"/>
      <c r="P3" s="20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2"/>
      <c r="T4" s="32"/>
      <c r="U4" s="32"/>
      <c r="V4" s="32"/>
      <c r="W4" s="32"/>
      <c r="X4" s="32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2"/>
      <c r="T10" s="32"/>
      <c r="U10" s="32"/>
      <c r="V10" s="32"/>
      <c r="W10" s="32"/>
      <c r="X10" s="32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2"/>
      <c r="T11" s="32"/>
      <c r="U11" s="32"/>
      <c r="V11" s="32"/>
      <c r="W11" s="32"/>
      <c r="X11" s="32"/>
    </row>
  </sheetData>
  <mergeCells count="24">
    <mergeCell ref="V2:X2"/>
    <mergeCell ref="S2:U2"/>
    <mergeCell ref="V4:X4"/>
    <mergeCell ref="V10:X10"/>
    <mergeCell ref="S11:U11"/>
    <mergeCell ref="V11:X11"/>
    <mergeCell ref="S4:U4"/>
    <mergeCell ref="S10:U10"/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2025-10-06T19:59:26Z</dcterms:modified>
  <cp:category/>
  <cp:contentStatus/>
</cp:coreProperties>
</file>