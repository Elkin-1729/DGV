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13_ncr:1_{FA35740B-0AA4-4D5F-8116-CA659CA93C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4" i="1"/>
  <c r="J16" i="1"/>
  <c r="J18" i="1"/>
  <c r="J8" i="1"/>
  <c r="I10" i="1"/>
  <c r="I12" i="1"/>
  <c r="I14" i="1"/>
  <c r="I16" i="1"/>
  <c r="I18" i="1"/>
  <c r="I8" i="1"/>
  <c r="H7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1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<sst xmlns="http://schemas.openxmlformats.org/spreadsheetml/2006/main" count="92" uniqueCount="69">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</sst>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topLeftCell="A4" zoomScaleNormal="100" workbookViewId="0">
      <selection activeCell="I8" sqref="I8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/>
      <c r="E2" s="12" t="s">
        <v>1</v>
      </c>
      <c r="F2" s="12" t="s">
        <v>60</v>
      </c>
      <c r="G2" s="12"/>
      <c r="H2" s="2"/>
    </row>
    <row r="4" spans="2:19" ht="15" customHeight="1" x14ac:dyDescent="0.25">
      <c r="B4" s="20" t="s">
        <v>2</v>
      </c>
      <c r="C4" s="29" t="s">
        <v>3</v>
      </c>
      <c r="D4" s="30"/>
      <c r="E4" s="21" t="s">
        <v>59</v>
      </c>
      <c r="F4" s="25" t="s">
        <v>4</v>
      </c>
      <c r="G4" s="25" t="s">
        <v>66</v>
      </c>
      <c r="H4" s="25" t="s">
        <v>5</v>
      </c>
      <c r="I4" s="23" t="s">
        <v>6</v>
      </c>
      <c r="J4" s="24"/>
      <c r="K4" s="17" t="s">
        <v>7</v>
      </c>
      <c r="L4" s="25" t="s">
        <v>8</v>
      </c>
      <c r="M4" s="25" t="s">
        <v>9</v>
      </c>
      <c r="N4" s="19" t="s">
        <v>10</v>
      </c>
      <c r="O4" s="13" t="s">
        <v>11</v>
      </c>
      <c r="P4" s="19" t="s">
        <v>12</v>
      </c>
      <c r="Q4" s="19" t="s">
        <v>13</v>
      </c>
      <c r="R4" s="20" t="s">
        <v>14</v>
      </c>
      <c r="S4" s="20"/>
    </row>
    <row r="5" spans="2:19" ht="27" customHeight="1" x14ac:dyDescent="0.25">
      <c r="B5" s="20"/>
      <c r="C5" s="12" t="s">
        <v>15</v>
      </c>
      <c r="D5" s="12" t="s">
        <v>16</v>
      </c>
      <c r="E5" s="22"/>
      <c r="F5" s="26"/>
      <c r="G5" s="26"/>
      <c r="H5" s="26"/>
      <c r="I5" s="12" t="s">
        <v>17</v>
      </c>
      <c r="J5" s="12" t="s">
        <v>18</v>
      </c>
      <c r="K5" s="18"/>
      <c r="L5" s="26"/>
      <c r="M5" s="26"/>
      <c r="N5" s="20"/>
      <c r="O5" s="12"/>
      <c r="P5" s="20"/>
      <c r="Q5" s="20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7"/>
      <c r="S6" s="28"/>
    </row>
    <row r="7" spans="2:19" x14ac:dyDescent="0.25">
      <c r="B7" s="4"/>
      <c r="C7" s="2"/>
      <c r="D7" s="2"/>
      <c r="E7" s="2"/>
      <c r="F7" s="32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TEXT(ABS(MOD(DEGREES(ATAN2(C8-C6, D8-D6 )), 360) - MOD(DEGREES(ATAN2(C10-C8, D10-D8 )), 360))/24,"[h]° mm' ss\""")</f>
        <v>33° 52' 59"</v>
      </c>
      <c r="J8" s="7" t="str">
        <f>IF( ((C8-C6)*(D10-D8) - (D8-D6)*(C10-C8)) &gt; 0, "Derecha", "Izquierda")</f>
        <v>Derecha</v>
      </c>
      <c r="K8" s="7"/>
      <c r="L8" s="7"/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32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 t="shared" ref="I10" si="1">TEXT(ABS(MOD(DEGREES(ATAN2(C10-C8, D10-D8 )), 360) - MOD(DEGREES(ATAN2(C12-C10, D12-D10 )), 360))/24,"[h]° mm' ss\""")</f>
        <v>0° 00' 00"</v>
      </c>
      <c r="J10" s="7" t="s">
        <v>67</v>
      </c>
      <c r="K10" s="7"/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32">
        <f t="shared" ref="F11" si="2">(ABS(E10-E12)/G11)</f>
        <v>7.9041408407619626E-2</v>
      </c>
      <c r="G11" s="7">
        <f t="shared" ref="G11:G19" si="3">((C10-C12)^2+(D10-D12)^2)^0.5</f>
        <v>64.339693616968319</v>
      </c>
      <c r="H11" s="7" t="str">
        <f t="shared" ref="H11:H19" si="4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 t="shared" ref="I12" si="5">TEXT(ABS(MOD(DEGREES(ATAN2(C12-C10, D12-D10 )), 360) - MOD(DEGREES(ATAN2(C14-C12, D14-D12 )), 360))/24,"[h]° mm' ss\""")</f>
        <v>24° 09' 20"</v>
      </c>
      <c r="J12" s="7" t="str">
        <f t="shared" ref="J12" si="6">IF( ((C12-C10)*(D14-D12) - (D12-D10)*(C14-C12)) &gt; 0, "Derecha", "Izquierda")</f>
        <v>Izquierda</v>
      </c>
      <c r="K12" s="7"/>
      <c r="L12" s="7"/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32">
        <f t="shared" ref="F13" si="7">(ABS(E12-E14)/G13)</f>
        <v>1.0058329096366151E-2</v>
      </c>
      <c r="G13" s="7">
        <f t="shared" ref="G13:G19" si="8">((C12-C14)^2+(D12-D14)^2)^0.5</f>
        <v>216.93463984871246</v>
      </c>
      <c r="H13" s="7" t="str">
        <f t="shared" ref="H13:H19" si="9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 t="shared" ref="I14" si="10">TEXT(ABS(MOD(DEGREES(ATAN2(C14-C12, D14-D12 )), 360) - MOD(DEGREES(ATAN2(C16-C14, D16-D14 )), 360))/24,"[h]° mm' ss\""")</f>
        <v>122° 14' 16"</v>
      </c>
      <c r="J14" s="7" t="str">
        <f t="shared" ref="J14" si="11">IF( ((C14-C12)*(D16-D14) - (D14-D12)*(C16-C14)) &gt; 0, "Derecha", "Izquierda")</f>
        <v>Derecha</v>
      </c>
      <c r="K14" s="7"/>
      <c r="L14" s="7"/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32">
        <f t="shared" ref="F15" si="12">(ABS(E14-E16)/G15)</f>
        <v>0.18737029675951541</v>
      </c>
      <c r="G15" s="7">
        <f t="shared" ref="G15:G19" si="13">((C14-C16)^2+(D14-D16)^2)^0.5</f>
        <v>529.43823922807655</v>
      </c>
      <c r="H15" s="7" t="str">
        <f t="shared" ref="H15:H19" si="14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 t="shared" ref="I16" si="15">TEXT(ABS(MOD(DEGREES(ATAN2(C16-C14, D16-D14 )), 360) - MOD(DEGREES(ATAN2(C18-C16, D18-D16 )), 360))/24,"[h]° mm' ss\""")</f>
        <v>130° 26' 09"</v>
      </c>
      <c r="J16" s="7" t="str">
        <f t="shared" ref="J16" si="16">IF( ((C16-C14)*(D18-D16) - (D16-D14)*(C18-C16)) &gt; 0, "Derecha", "Izquierda")</f>
        <v>Izquierda</v>
      </c>
      <c r="K16" s="7"/>
      <c r="L16" s="7"/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32">
        <f t="shared" ref="F17" si="17">(ABS(E16-E18)/G17)</f>
        <v>0.24948257463763157</v>
      </c>
      <c r="G17" s="7">
        <f t="shared" ref="G17:G19" si="18">((C16-C18)^2+(D16-D18)^2)^0.5</f>
        <v>443.52356135781787</v>
      </c>
      <c r="H17" s="7" t="str">
        <f t="shared" ref="H17:H19" si="19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 t="shared" ref="I18" si="20">TEXT(ABS(MOD(DEGREES(ATAN2(C18-C16, D18-D16 )), 360) - MOD(DEGREES(ATAN2(C20-C18, D20-D18 )), 360))/24,"[h]° mm' ss\""")</f>
        <v>20° 49' 02"</v>
      </c>
      <c r="J18" s="7" t="str">
        <f t="shared" ref="J18" si="21">IF( ((C18-C16)*(D20-D18) - (D18-D16)*(C20-C18)) &gt; 0, "Derecha", "Izquierda")</f>
        <v>Derecha</v>
      </c>
      <c r="K18" s="7"/>
      <c r="L18" s="7"/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32">
        <f t="shared" ref="F19" si="22">(ABS(E18-E20)/G19)</f>
        <v>0.13030247731119496</v>
      </c>
      <c r="G19" s="7">
        <f t="shared" ref="G19" si="23">((C18-C20)^2+(D18-D20)^2)^0.5</f>
        <v>492.68364903515572</v>
      </c>
      <c r="H19" s="7" t="str">
        <f t="shared" ref="H19" si="24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C4:D4"/>
    <mergeCell ref="G4:G5"/>
    <mergeCell ref="H4:H5"/>
    <mergeCell ref="M4:M5"/>
    <mergeCell ref="Q4:Q5"/>
    <mergeCell ref="L4:L5"/>
    <mergeCell ref="N4:N5"/>
    <mergeCell ref="P4:P5"/>
    <mergeCell ref="R4:S4"/>
    <mergeCell ref="R6:S6"/>
    <mergeCell ref="E4:E5"/>
    <mergeCell ref="I4:J4"/>
    <mergeCell ref="F4:F5"/>
    <mergeCell ref="B4:B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0" t="s">
        <v>2</v>
      </c>
      <c r="C2" s="19" t="s">
        <v>25</v>
      </c>
      <c r="D2" s="19" t="s">
        <v>26</v>
      </c>
      <c r="E2" s="19" t="s">
        <v>13</v>
      </c>
      <c r="F2" s="25" t="s">
        <v>7</v>
      </c>
      <c r="G2" s="19" t="s">
        <v>27</v>
      </c>
      <c r="H2" s="19" t="s">
        <v>28</v>
      </c>
      <c r="I2" s="25" t="s">
        <v>29</v>
      </c>
      <c r="J2" s="19" t="s">
        <v>30</v>
      </c>
      <c r="K2" s="20" t="s">
        <v>31</v>
      </c>
      <c r="L2" s="20"/>
      <c r="M2" s="20"/>
      <c r="N2" s="20"/>
      <c r="O2" s="20" t="s">
        <v>32</v>
      </c>
      <c r="P2" s="20"/>
      <c r="Q2" s="20"/>
      <c r="R2" s="20"/>
      <c r="S2" s="20"/>
      <c r="T2" s="20"/>
      <c r="U2" s="20"/>
      <c r="V2" s="20"/>
    </row>
    <row r="3" spans="2:22" x14ac:dyDescent="0.25">
      <c r="B3" s="20"/>
      <c r="C3" s="19"/>
      <c r="D3" s="19"/>
      <c r="E3" s="20"/>
      <c r="F3" s="26"/>
      <c r="G3" s="20"/>
      <c r="H3" s="20"/>
      <c r="I3" s="26"/>
      <c r="J3" s="20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0" t="s">
        <v>39</v>
      </c>
      <c r="C2" s="19" t="s">
        <v>4</v>
      </c>
      <c r="D2" s="19" t="s">
        <v>40</v>
      </c>
      <c r="E2" s="25" t="s">
        <v>41</v>
      </c>
      <c r="F2" s="25" t="s">
        <v>42</v>
      </c>
      <c r="G2" s="25" t="s">
        <v>43</v>
      </c>
      <c r="H2" s="20" t="s">
        <v>44</v>
      </c>
      <c r="I2" s="25" t="s">
        <v>45</v>
      </c>
      <c r="J2" s="19" t="s">
        <v>46</v>
      </c>
      <c r="K2" s="19" t="s">
        <v>47</v>
      </c>
      <c r="L2" s="19" t="s">
        <v>48</v>
      </c>
      <c r="M2" s="19" t="s">
        <v>49</v>
      </c>
      <c r="N2" s="19" t="s">
        <v>50</v>
      </c>
      <c r="O2" s="19" t="s">
        <v>51</v>
      </c>
      <c r="P2" s="19" t="s">
        <v>52</v>
      </c>
      <c r="Q2" s="19" t="s">
        <v>53</v>
      </c>
      <c r="R2" s="19"/>
      <c r="S2" s="20" t="s">
        <v>14</v>
      </c>
      <c r="T2" s="20"/>
      <c r="U2" s="20"/>
      <c r="V2" s="20" t="s">
        <v>54</v>
      </c>
      <c r="W2" s="20"/>
      <c r="X2" s="20"/>
    </row>
    <row r="3" spans="2:24" x14ac:dyDescent="0.25">
      <c r="B3" s="20"/>
      <c r="C3" s="20"/>
      <c r="D3" s="20"/>
      <c r="E3" s="26"/>
      <c r="F3" s="26"/>
      <c r="G3" s="26"/>
      <c r="H3" s="20"/>
      <c r="I3" s="26"/>
      <c r="J3" s="20"/>
      <c r="K3" s="20"/>
      <c r="L3" s="20"/>
      <c r="M3" s="20"/>
      <c r="N3" s="20"/>
      <c r="O3" s="20"/>
      <c r="P3" s="20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1"/>
      <c r="T4" s="31"/>
      <c r="U4" s="31"/>
      <c r="V4" s="31"/>
      <c r="W4" s="31"/>
      <c r="X4" s="31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1"/>
      <c r="T10" s="31"/>
      <c r="U10" s="31"/>
      <c r="V10" s="31"/>
      <c r="W10" s="31"/>
      <c r="X10" s="31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1"/>
      <c r="T11" s="31"/>
      <c r="U11" s="31"/>
      <c r="V11" s="31"/>
      <c r="W11" s="31"/>
      <c r="X11" s="31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2025-10-05T22:27:59Z</dcterms:modified>
  <cp:category/>
  <cp:contentStatus/>
</cp:coreProperties>
</file>